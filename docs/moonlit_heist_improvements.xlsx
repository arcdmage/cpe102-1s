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mprovements" sheetId="2" state="visible" r:id="rId4"/>
  </sheets>
  <definedNames>
    <definedName function="false" hidden="false" localSheetId="1" name="_xlnm.Print_Titles" vbProcedure="false">Improvements!$1:$1</definedName>
    <definedName function="false" hidden="true" localSheetId="1" name="_xlnm._FilterDatabase" vbProcedure="false">Improvements!$A$1:$K$62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<sst xmlns="http://schemas.openxmlformats.org/spreadsheetml/2006/main" count="484" uniqueCount="174">
  <si>
    <t xml:space="preserve">Moonlit Heist: Improvement Tracker</t>
  </si>
  <si>
    <t xml:space="preserve">Counts below update from the Status, Phase, Impact and Effort columns on the Improvements sheet.</t>
  </si>
  <si>
    <t xml:space="preserve">Overall</t>
  </si>
  <si>
    <t xml:space="preserve">Count</t>
  </si>
  <si>
    <t xml:space="preserve">Total items</t>
  </si>
  <si>
    <t xml:space="preserve">To do</t>
  </si>
  <si>
    <t xml:space="preserve">In progress</t>
  </si>
  <si>
    <t xml:space="preserve">Done</t>
  </si>
  <si>
    <t xml:space="preserve">Skipped</t>
  </si>
  <si>
    <t xml:space="preserve">Percent done (excluding skipped)</t>
  </si>
  <si>
    <t xml:space="preserve">By category</t>
  </si>
  <si>
    <t xml:space="preserve">Items</t>
  </si>
  <si>
    <t xml:space="preserve">% done</t>
  </si>
  <si>
    <t xml:space="preserve">Navigation and flow</t>
  </si>
  <si>
    <t xml:space="preserve">Gameplay and design</t>
  </si>
  <si>
    <t xml:space="preserve">Scoring and balance</t>
  </si>
  <si>
    <t xml:space="preserve">Content and story</t>
  </si>
  <si>
    <t xml:space="preserve">UI and QoL</t>
  </si>
  <si>
    <t xml:space="preserve">Code quality</t>
  </si>
  <si>
    <t xml:space="preserve">Bugs and risks</t>
  </si>
  <si>
    <t xml:space="preserve">Testing and presentation</t>
  </si>
  <si>
    <t xml:space="preserve">Total</t>
  </si>
  <si>
    <t xml:space="preserve">By phase</t>
  </si>
  <si>
    <t xml:space="preserve">Phase 1</t>
  </si>
  <si>
    <t xml:space="preserve">Phase 2</t>
  </si>
  <si>
    <t xml:space="preserve">Phase 3</t>
  </si>
  <si>
    <t xml:space="preserve">Phase 4</t>
  </si>
  <si>
    <t xml:space="preserve">Backlog</t>
  </si>
  <si>
    <t xml:space="preserve">Impact vs effort (item count)</t>
  </si>
  <si>
    <t xml:space="preserve">S</t>
  </si>
  <si>
    <t xml:space="preserve">M</t>
  </si>
  <si>
    <t xml:space="preserve">L</t>
  </si>
  <si>
    <t xml:space="preserve">High</t>
  </si>
  <si>
    <t xml:space="preserve">Med</t>
  </si>
  <si>
    <t xml:space="preserve">Low</t>
  </si>
  <si>
    <t xml:space="preserve">Notes</t>
  </si>
  <si>
    <t xml:space="preserve">Effort: S = under an hour, M = a few hours, L = a day or more.</t>
  </si>
  <si>
    <t xml:space="preserve">Where the original list gave a range (S-M), Effort is set to M.</t>
  </si>
  <si>
    <t xml:space="preserve">Phases come from the suggested order: Phase 1 first (small, high impact), then 2, 3 and 4.</t>
  </si>
  <si>
    <t xml:space="preserve">Value score (Improvements, column K) = impact weight (High 3, Med 2, Low 1) divided by effort weight (S 1, M 2, L 3). Higher means better return for the work.</t>
  </si>
  <si>
    <t xml:space="preserve">Cells to edit: Phase, Status, Owner and Notes (cream background, blue text) on the Improvements sheet.</t>
  </si>
  <si>
    <t xml:space="preserve">Item 53 (library rules) is High impact only if the rubric limits libraries; ask the instructor.</t>
  </si>
  <si>
    <t xml:space="preserve">ID</t>
  </si>
  <si>
    <t xml:space="preserve">Category</t>
  </si>
  <si>
    <t xml:space="preserve">Item</t>
  </si>
  <si>
    <t xml:space="preserve">Why / where in game.cpp</t>
  </si>
  <si>
    <t xml:space="preserve">Impact</t>
  </si>
  <si>
    <t xml:space="preserve">Effort</t>
  </si>
  <si>
    <t xml:space="preserve">Phase</t>
  </si>
  <si>
    <t xml:space="preserve">Status</t>
  </si>
  <si>
    <t xml:space="preserve">Owner</t>
  </si>
  <si>
    <t xml:space="preserve">Value score</t>
  </si>
  <si>
    <t xml:space="preserve">Back navigation in deduction</t>
  </si>
  <si>
    <t xml:space="preserve">deduction() is a fixed 4-step chain. Steps 2 to 4 use askChoice(5, false), so there is no 0 option.</t>
  </si>
  <si>
    <t xml:space="preserve">Confirmation screen before submitting</t>
  </si>
  <si>
    <t xml:space="preserve">Show the 4 choices with Confirm / Change an answer. One wrong pick currently ends the game.</t>
  </si>
  <si>
    <t xml:space="preserve">Dialogue log (L key)</t>
  </si>
  <si>
    <t xml:space="preserve">waitKey() moves on and the reply is gone. Store the last N lines in an array like notes.</t>
  </si>
  <si>
    <t xml:space="preserve">C and N hotkeys inside interviews and deduction</t>
  </si>
  <si>
    <t xml:space="preserve">Case File and Notes only work in exploreLoop(). The player can't check the evidence log while choosing evidence.</t>
  </si>
  <si>
    <t xml:space="preserve">Page back in Notes</t>
  </si>
  <si>
    <t xml:space="preserve">showNotes() only goes forward through its pages.</t>
  </si>
  <si>
    <t xml:space="preserve">Confirm on Q</t>
  </si>
  <si>
    <t xml:space="preserve">Q returns to the menu and wipes all progress with no warning.</t>
  </si>
  <si>
    <t xml:space="preserve">Arrow keys in the exploration map</t>
  </si>
  <si>
    <t xml:space="preserve">They work only in the main menu (readMenuKey).</t>
  </si>
  <si>
    <t xml:space="preserve">Esc as Back</t>
  </si>
  <si>
    <t xml:space="preserve">Treat Esc as 0 in askChoice. Careful on Mac/Linux, where arrow keys also start with Esc.</t>
  </si>
  <si>
    <t xml:space="preserve">Quick profile view during an interview</t>
  </si>
  <si>
    <t xml:space="preserve">Let the player open the suspect's file with one key.</t>
  </si>
  <si>
    <t xml:space="preserve">Retry deduction after Game Over</t>
  </si>
  <si>
    <t xml:space="preserve">playGame() calls resetGame() and wipes everything. Offer retry deduction as an easy mode; keep full restart as default.</t>
  </si>
  <si>
    <t xml:space="preserve">Save and load</t>
  </si>
  <si>
    <t xml:space="preserve">Needs &lt;fstream&gt;, which isn't on the allowed library list.</t>
  </si>
  <si>
    <t xml:space="preserve">Present Evidence option</t>
  </si>
  <si>
    <t xml:space="preserve">Doc says to question statements to uncover inconsistencies, but interviews only pick the best of 3 questions. Let the player pick evidence to catch a lie.</t>
  </si>
  <si>
    <t xml:space="preserve">Interaction prompt</t>
  </si>
  <si>
    <t xml:space="preserve">Show '[E] Talk to Julian' or '[E] Examine desk' when adjacent. The player currently has to guess.</t>
  </si>
  <si>
    <t xml:space="preserve">Objective line</t>
  </si>
  <si>
    <t xml:space="preserve">Show a line like 'Interview all 5 suspects (2/5)'.</t>
  </si>
  <si>
    <t xml:space="preserve">Hint key (H)</t>
  </si>
  <si>
    <t xml:space="preserve">The solution is a chain (Arthur, cufflink, desk ink, deduction). A stuck player has no direction, so add a hint that costs points.</t>
  </si>
  <si>
    <t xml:space="preserve">Flag-based unlocks</t>
  </si>
  <si>
    <t xml:space="preserve">Unlocks only check evidence (needEvidence). Dev notes say Evelyn's phone topic should unlock after Arthur's testimony, but it is always visible.</t>
  </si>
  <si>
    <t xml:space="preserve">Payoff for red herrings</t>
  </si>
  <si>
    <t xml:space="preserve">Handbag catalog and garden soil are found but never used in dialogue. Add topics for Evelyn and Gideon that need them.</t>
  </si>
  <si>
    <t xml:space="preserve">More searchable objects</t>
  </si>
  <si>
    <t xml:space="preserve">Only 4 exist ($ &amp; % ^). The timeline has the teacup, closet-threshold wipe and brass bookend.</t>
  </si>
  <si>
    <t xml:space="preserve">Grace (the owner) as an NPC</t>
  </si>
  <si>
    <t xml:space="preserve">She is in the doc but not in the game. She could explain the primary key and give the first hint.</t>
  </si>
  <si>
    <t xml:space="preserve">Shuffle answer order</t>
  </si>
  <si>
    <t xml:space="preserve">tp.correct is fixed, so replays can be memorized.</t>
  </si>
  <si>
    <t xml:space="preserve">Suspects react to evidence</t>
  </si>
  <si>
    <t xml:space="preserve">For example, Julian says something once you have found the ink.</t>
  </si>
  <si>
    <t xml:space="preserve">Moving NPCs</t>
  </si>
  <si>
    <t xml:space="preserve">Suspects are static (x, y fixed).</t>
  </si>
  <si>
    <t xml:space="preserve">Difficulty modes</t>
  </si>
  <si>
    <t xml:space="preserve">Easy gives hints and retry. Hard has no hints.</t>
  </si>
  <si>
    <t xml:space="preserve">Scoring cap mismatch</t>
  </si>
  <si>
    <t xml:space="preserve">16 topics x 50 = 800 raw points but the score is capped at 400, so up to 20 wrong answers cost nothing. Use +25 per answer or rescale.</t>
  </si>
  <si>
    <t xml:space="preserve">Show the efficiency bonus</t>
  </si>
  <si>
    <t xml:space="preserve">It is invisible now. Show 'Bonus: 100 (-10 per mistake)' in the side panel.</t>
  </si>
  <si>
    <t xml:space="preserve">Partial credit for the bonus</t>
  </si>
  <si>
    <t xml:space="preserve">The bonus is 0 until all 5 suspects are fully done.</t>
  </si>
  <si>
    <t xml:space="preserve">Game Over shows 0</t>
  </si>
  <si>
    <t xml:space="preserve">Doc says the score should reflect performance. Decide whether Game Over shows the investigation score.</t>
  </si>
  <si>
    <t xml:space="preserve">Guessable deduction</t>
  </si>
  <si>
    <t xml:space="preserve">Game Over names exactly which parts were wrong and correct positions are fixed ([2] reasoning, [4] motive, [3] evidence). Solvable in about 4 tries. Shuffle options and consider an attempt penalty.</t>
  </si>
  <si>
    <t xml:space="preserve">Reasoning option 2 spoils the answer</t>
  </si>
  <si>
    <t xml:space="preserve">The correct reasoning text states the full solution (Julian, spare key, desk). Make options shorter and equal in style.</t>
  </si>
  <si>
    <t xml:space="preserve">Deduction allowed from turn one</t>
  </si>
  <si>
    <t xml:space="preserve">Consider requiring some progress, or counting attempts.</t>
  </si>
  <si>
    <t xml:space="preserve">Prologue and first-time tutorial hints</t>
  </si>
  <si>
    <t xml:space="preserve">The game just drops you at the map.</t>
  </si>
  <si>
    <t xml:space="preserve">Unlock Case File timeline entries</t>
  </si>
  <si>
    <t xml:space="preserve">The timeline is static. Unlock entries like 10:15 light and 11:15 cufflink as clues are found.</t>
  </si>
  <si>
    <t xml:space="preserve">Undiscovered evidence shown as ???</t>
  </si>
  <si>
    <t xml:space="preserve">So players know what they are missing.</t>
  </si>
  <si>
    <t xml:space="preserve">Organize Notes by suspect, highlight contradictions</t>
  </si>
  <si>
    <t xml:space="preserve">Notes are a flat list now.</t>
  </si>
  <si>
    <t xml:space="preserve">Epilogue timeline recap</t>
  </si>
  <si>
    <t xml:space="preserve">After a win, recap the true heist timeline (10:15 key, 10:40 theft, 11:15 trap).</t>
  </si>
  <si>
    <t xml:space="preserve">Final stats screen</t>
  </si>
  <si>
    <t xml:space="preserve">Show wrong answers, evidence found (x/8) and topics done (x/16).</t>
  </si>
  <si>
    <t xml:space="preserve">Update the instructions screen</t>
  </si>
  <si>
    <t xml:space="preserve">Mention [0] Back and the dialogue log.</t>
  </si>
  <si>
    <t xml:space="preserve">Replace system("cls")</t>
  </si>
  <si>
    <t xml:space="preserve">It flickers on every step and spawns a process. Print "\033[H\033[2J" instead. setupConsole() already enables ANSI on Windows.</t>
  </si>
  <si>
    <t xml:space="preserve">Console size check</t>
  </si>
  <si>
    <t xml:space="preserve">Layout needs about 100 columns (map 60 + panel + dialogue width 86). Warn or resize.</t>
  </si>
  <si>
    <t xml:space="preserve">Room labels on the map</t>
  </si>
  <si>
    <t xml:space="preserve">The player has to read the side panel to know where they are. Also highlight objects when adjacent.</t>
  </si>
  <si>
    <t xml:space="preserve">Interview progress display</t>
  </si>
  <si>
    <t xml:space="preserve">Show 'Julian 2/4' in the Persons of Interest list and on the map panel.</t>
  </si>
  <si>
    <t xml:space="preserve">NEW tag on topics</t>
  </si>
  <si>
    <t xml:space="preserve">Mark topics unlocked by evidence. A ! over a suspect on the map would help too.</t>
  </si>
  <si>
    <t xml:space="preserve">Fix the Status panel</t>
  </si>
  <si>
    <t xml:space="preserve">Only 3 lines of 31 characters, so longer messages get cut.</t>
  </si>
  <si>
    <t xml:space="preserve">ASCII fallback</t>
  </si>
  <si>
    <t xml:space="preserve">The symbols ◆ ═ ✔ ✘ ★ need UTF-8.</t>
  </si>
  <si>
    <t xml:space="preserve">Optional bell sound</t>
  </si>
  <si>
    <t xml:space="preserve">Print \a on correct and wrong answers.</t>
  </si>
  <si>
    <t xml:space="preserve">Typewriter text effect</t>
  </si>
  <si>
    <t xml:space="preserve">Needs a sleep function, which is outside the allowed libraries.</t>
  </si>
  <si>
    <t xml:space="preserve">Split the 1,724-line file</t>
  </si>
  <si>
    <t xml:space="preserve">Separate map, UI, dialogue and logic, if the instructor allows it.</t>
  </si>
  <si>
    <t xml:space="preserve">Room table for getRoomName()</t>
  </si>
  <si>
    <t xml:space="preserve">It hard-codes room boundaries (17, 31, 44) separately from gameMap. Editing the map can silently break the labels.</t>
  </si>
  <si>
    <t xml:space="preserve">One helper for centering math</t>
  </si>
  <si>
    <t xml:space="preserve">showInstructions, showCredits and drawMenu repeat the same padding code.</t>
  </si>
  <si>
    <t xml:space="preserve">Replace magic numbers with constants</t>
  </si>
  <si>
    <t xml:space="preserve">For example the start position 30, 10 and the numbers 8 and 12.</t>
  </si>
  <si>
    <t xml:space="preserve">Symbol-to-handler table in exploreLoop()</t>
  </si>
  <si>
    <t xml:space="preserve">Replace the if chain for $ &amp; % ^.</t>
  </si>
  <si>
    <t xml:space="preserve">Group global state into one struct</t>
  </si>
  <si>
    <t xml:space="preserve">Suspects, evidence, notes and counters are separate globals.</t>
  </si>
  <si>
    <t xml:space="preserve">Library rules</t>
  </si>
  <si>
    <t xml:space="preserve">&lt;windows.h&gt;, &lt;termios.h&gt; and &lt;unistd.h&gt; aren't on the beginner list. High impact if the rubric is strict, so ask the instructor.</t>
  </si>
  <si>
    <t xml:space="preserve">Multiple adjacent suspects</t>
  </si>
  <si>
    <t xml:space="preserve">With two suspects within 1 tile, the lower index wins, and diagonals count. Pick the nearest instead.</t>
  </si>
  <si>
    <t xml:space="preserve">addNote() silently drops notes at MAX_NOTES</t>
  </si>
  <si>
    <t xml:space="preserve">MAX_NOTES is 40 and only about 20 are needed now, so it is safe. Add a warning if topics are added.</t>
  </si>
  <si>
    <t xml:space="preserve">Interview-found evidence adds no note</t>
  </si>
  <si>
    <t xml:space="preserve">foundEvidence(..., "") passes an empty note for evidence revealed by a topic.</t>
  </si>
  <si>
    <t xml:space="preserve">exit(0) on any read failure</t>
  </si>
  <si>
    <t xml:space="preserve">Ends the game with no message.</t>
  </si>
  <si>
    <t xml:space="preserve">Hidden debug key</t>
  </si>
  <si>
    <t xml:space="preserve">Reveal all evidence and jump to deduction, for demos and testing.</t>
  </si>
  <si>
    <t xml:space="preserve">Playtest checklist</t>
  </si>
  <si>
    <t xml:space="preserve">All 15 wrong-answer combinations, every topic right and wrong, each rank, a small console, Mac/Linux.</t>
  </si>
  <si>
    <t xml:space="preserve">Golden-path demo script</t>
  </si>
  <si>
    <t xml:space="preserve">A scripted run for the presentation.</t>
  </si>
  <si>
    <t xml:space="preserve">Update the flowcharts after changes</t>
  </si>
  <si>
    <t xml:space="preserve">Regenerate the four .mmd charts when the code changes.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</si>
</sst>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%"/>
    <numFmt numFmtId="167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6B72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730A3"/>
        <bgColor rgb="FF003366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3730A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FFFBE6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BBF7D0"/>
        </patternFill>
      </fill>
    </dxf>
    <dxf>
      <fill>
        <patternFill>
          <bgColor rgb="FFFDE68A"/>
        </patternFill>
      </fill>
    </dxf>
    <dxf>
      <fill>
        <patternFill>
          <bgColor rgb="FFE5E7EB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F3F4F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68A"/>
      <rgbColor rgb="FF808080"/>
      <rgbColor rgb="FF9999FF"/>
      <rgbColor rgb="FF993366"/>
      <rgbColor rgb="FFFFFBE6"/>
      <rgbColor rgb="FFF3F4F6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BBF7D0"/>
      <rgbColor rgb="FFFEF3C7"/>
      <rgbColor rgb="FF99CCFF"/>
      <rgbColor rgb="FFFF99CC"/>
      <rgbColor rgb="FFCC99FF"/>
      <rgbColor rgb="FFFECACA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30A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5" min="2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5" t="s">
        <v>4</v>
      </c>
      <c r="B5" s="6" t="n">
        <f aca="false">COUNTA(Improvements!$A$2:$A$62)</f>
        <v>61</v>
      </c>
    </row>
    <row r="6" customFormat="false" ht="15" hidden="false" customHeight="false" outlineLevel="0" collapsed="false">
      <c r="A6" s="5" t="s">
        <v>5</v>
      </c>
      <c r="B6" s="6" t="n">
        <f aca="false">COUNTIF(Improvements!$H$2:$H$62,"To do")</f>
        <v>61</v>
      </c>
    </row>
    <row r="7" customFormat="false" ht="15" hidden="false" customHeight="false" outlineLevel="0" collapsed="false">
      <c r="A7" s="5" t="s">
        <v>6</v>
      </c>
      <c r="B7" s="6" t="n">
        <f aca="false">COUNTIF(Improvements!$H$2:$H$62,"In progress")</f>
        <v>0</v>
      </c>
    </row>
    <row r="8" customFormat="false" ht="15" hidden="false" customHeight="false" outlineLevel="0" collapsed="false">
      <c r="A8" s="5" t="s">
        <v>7</v>
      </c>
      <c r="B8" s="6" t="n">
        <f aca="false">COUNTIF(Improvements!$H$2:$H$62,"Done")</f>
        <v>0</v>
      </c>
    </row>
    <row r="9" customFormat="false" ht="15" hidden="false" customHeight="false" outlineLevel="0" collapsed="false">
      <c r="A9" s="5" t="s">
        <v>8</v>
      </c>
      <c r="B9" s="6" t="n">
        <f aca="false">COUNTIF(Improvements!$H$2:$H$62,"Skipped")</f>
        <v>0</v>
      </c>
    </row>
    <row r="10" customFormat="false" ht="15" hidden="false" customHeight="false" outlineLevel="0" collapsed="false">
      <c r="A10" s="7" t="s">
        <v>9</v>
      </c>
      <c r="B10" s="8" t="n">
        <f aca="false">IFERROR(B8/(B5-B9),0)</f>
        <v>0</v>
      </c>
    </row>
    <row r="12" customFormat="false" ht="15" hidden="false" customHeight="false" outlineLevel="0" collapsed="false">
      <c r="A12" s="3" t="s">
        <v>10</v>
      </c>
      <c r="B12" s="4" t="s">
        <v>11</v>
      </c>
      <c r="C12" s="4" t="s">
        <v>7</v>
      </c>
      <c r="D12" s="4" t="s">
        <v>12</v>
      </c>
    </row>
    <row r="13" customFormat="false" ht="15" hidden="false" customHeight="false" outlineLevel="0" collapsed="false">
      <c r="A13" s="5" t="s">
        <v>13</v>
      </c>
      <c r="B13" s="6" t="n">
        <f aca="false">COUNTIF(Improvements!$B$2:$B$62,A13)</f>
        <v>11</v>
      </c>
      <c r="C13" s="6" t="n">
        <f aca="false">COUNTIFS(Improvements!$B$2:$B$62,A13,Improvements!$H$2:$H$62,"Done")</f>
        <v>0</v>
      </c>
      <c r="D13" s="9" t="n">
        <f aca="false">IFERROR(C13/B13,0)</f>
        <v>0</v>
      </c>
    </row>
    <row r="14" customFormat="false" ht="15" hidden="false" customHeight="false" outlineLevel="0" collapsed="false">
      <c r="A14" s="5" t="s">
        <v>14</v>
      </c>
      <c r="B14" s="6" t="n">
        <f aca="false">COUNTIF(Improvements!$B$2:$B$62,A14)</f>
        <v>12</v>
      </c>
      <c r="C14" s="6" t="n">
        <f aca="false">COUNTIFS(Improvements!$B$2:$B$62,A14,Improvements!$H$2:$H$62,"Done")</f>
        <v>0</v>
      </c>
      <c r="D14" s="9" t="n">
        <f aca="false">IFERROR(C14/B14,0)</f>
        <v>0</v>
      </c>
    </row>
    <row r="15" customFormat="false" ht="15" hidden="false" customHeight="false" outlineLevel="0" collapsed="false">
      <c r="A15" s="5" t="s">
        <v>15</v>
      </c>
      <c r="B15" s="6" t="n">
        <f aca="false">COUNTIF(Improvements!$B$2:$B$62,A15)</f>
        <v>7</v>
      </c>
      <c r="C15" s="6" t="n">
        <f aca="false">COUNTIFS(Improvements!$B$2:$B$62,A15,Improvements!$H$2:$H$62,"Done")</f>
        <v>0</v>
      </c>
      <c r="D15" s="9" t="n">
        <f aca="false">IFERROR(C15/B15,0)</f>
        <v>0</v>
      </c>
    </row>
    <row r="16" customFormat="false" ht="15" hidden="false" customHeight="false" outlineLevel="0" collapsed="false">
      <c r="A16" s="5" t="s">
        <v>16</v>
      </c>
      <c r="B16" s="6" t="n">
        <f aca="false">COUNTIF(Improvements!$B$2:$B$62,A16)</f>
        <v>7</v>
      </c>
      <c r="C16" s="6" t="n">
        <f aca="false">COUNTIFS(Improvements!$B$2:$B$62,A16,Improvements!$H$2:$H$62,"Done")</f>
        <v>0</v>
      </c>
      <c r="D16" s="9" t="n">
        <f aca="false">IFERROR(C16/B16,0)</f>
        <v>0</v>
      </c>
    </row>
    <row r="17" customFormat="false" ht="15" hidden="false" customHeight="false" outlineLevel="0" collapsed="false">
      <c r="A17" s="5" t="s">
        <v>17</v>
      </c>
      <c r="B17" s="6" t="n">
        <f aca="false">COUNTIF(Improvements!$B$2:$B$62,A17)</f>
        <v>9</v>
      </c>
      <c r="C17" s="6" t="n">
        <f aca="false">COUNTIFS(Improvements!$B$2:$B$62,A17,Improvements!$H$2:$H$62,"Done")</f>
        <v>0</v>
      </c>
      <c r="D17" s="9" t="n">
        <f aca="false">IFERROR(C17/B17,0)</f>
        <v>0</v>
      </c>
    </row>
    <row r="18" customFormat="false" ht="15" hidden="false" customHeight="false" outlineLevel="0" collapsed="false">
      <c r="A18" s="5" t="s">
        <v>18</v>
      </c>
      <c r="B18" s="6" t="n">
        <f aca="false">COUNTIF(Improvements!$B$2:$B$62,A18)</f>
        <v>7</v>
      </c>
      <c r="C18" s="6" t="n">
        <f aca="false">COUNTIFS(Improvements!$B$2:$B$62,A18,Improvements!$H$2:$H$62,"Done")</f>
        <v>0</v>
      </c>
      <c r="D18" s="9" t="n">
        <f aca="false">IFERROR(C18/B18,0)</f>
        <v>0</v>
      </c>
    </row>
    <row r="19" customFormat="false" ht="15" hidden="false" customHeight="false" outlineLevel="0" collapsed="false">
      <c r="A19" s="5" t="s">
        <v>19</v>
      </c>
      <c r="B19" s="6" t="n">
        <f aca="false">COUNTIF(Improvements!$B$2:$B$62,A19)</f>
        <v>4</v>
      </c>
      <c r="C19" s="6" t="n">
        <f aca="false">COUNTIFS(Improvements!$B$2:$B$62,A19,Improvements!$H$2:$H$62,"Done")</f>
        <v>0</v>
      </c>
      <c r="D19" s="9" t="n">
        <f aca="false">IFERROR(C19/B19,0)</f>
        <v>0</v>
      </c>
    </row>
    <row r="20" customFormat="false" ht="15" hidden="false" customHeight="false" outlineLevel="0" collapsed="false">
      <c r="A20" s="5" t="s">
        <v>20</v>
      </c>
      <c r="B20" s="6" t="n">
        <f aca="false">COUNTIF(Improvements!$B$2:$B$62,A20)</f>
        <v>4</v>
      </c>
      <c r="C20" s="6" t="n">
        <f aca="false">COUNTIFS(Improvements!$B$2:$B$62,A20,Improvements!$H$2:$H$62,"Done")</f>
        <v>0</v>
      </c>
      <c r="D20" s="9" t="n">
        <f aca="false">IFERROR(C20/B20,0)</f>
        <v>0</v>
      </c>
    </row>
    <row r="21" customFormat="false" ht="15" hidden="false" customHeight="false" outlineLevel="0" collapsed="false">
      <c r="A21" s="7" t="s">
        <v>21</v>
      </c>
      <c r="B21" s="10" t="n">
        <f aca="false">SUM(B13:B20)</f>
        <v>61</v>
      </c>
      <c r="C21" s="10" t="n">
        <f aca="false">SUM(C13:C20)</f>
        <v>0</v>
      </c>
      <c r="D21" s="8" t="n">
        <f aca="false">IFERROR(C21/B21,0)</f>
        <v>0</v>
      </c>
      <c r="E21" s="11" t="str">
        <f aca="false">IF(B21=B5,"OK","Mismatch")</f>
        <v>OK</v>
      </c>
    </row>
    <row r="23" customFormat="false" ht="15" hidden="false" customHeight="false" outlineLevel="0" collapsed="false">
      <c r="A23" s="3" t="s">
        <v>22</v>
      </c>
      <c r="B23" s="4" t="s">
        <v>11</v>
      </c>
      <c r="C23" s="4" t="s">
        <v>7</v>
      </c>
      <c r="D23" s="4" t="s">
        <v>12</v>
      </c>
    </row>
    <row r="24" customFormat="false" ht="15" hidden="false" customHeight="false" outlineLevel="0" collapsed="false">
      <c r="A24" s="5" t="s">
        <v>23</v>
      </c>
      <c r="B24" s="6" t="n">
        <f aca="false">COUNTIF(Improvements!$G$2:$G$62,A24)</f>
        <v>6</v>
      </c>
      <c r="C24" s="6" t="n">
        <f aca="false">COUNTIFS(Improvements!$G$2:$G$62,A24,Improvements!$H$2:$H$62,"Done")</f>
        <v>0</v>
      </c>
      <c r="D24" s="9" t="n">
        <f aca="false">IFERROR(C24/B24,0)</f>
        <v>0</v>
      </c>
    </row>
    <row r="25" customFormat="false" ht="15" hidden="false" customHeight="false" outlineLevel="0" collapsed="false">
      <c r="A25" s="5" t="s">
        <v>24</v>
      </c>
      <c r="B25" s="6" t="n">
        <f aca="false">COUNTIF(Improvements!$G$2:$G$62,A25)</f>
        <v>9</v>
      </c>
      <c r="C25" s="6" t="n">
        <f aca="false">COUNTIFS(Improvements!$G$2:$G$62,A25,Improvements!$H$2:$H$62,"Done")</f>
        <v>0</v>
      </c>
      <c r="D25" s="9" t="n">
        <f aca="false">IFERROR(C25/B25,0)</f>
        <v>0</v>
      </c>
    </row>
    <row r="26" customFormat="false" ht="15" hidden="false" customHeight="false" outlineLevel="0" collapsed="false">
      <c r="A26" s="5" t="s">
        <v>25</v>
      </c>
      <c r="B26" s="6" t="n">
        <f aca="false">COUNTIF(Improvements!$G$2:$G$62,A26)</f>
        <v>7</v>
      </c>
      <c r="C26" s="6" t="n">
        <f aca="false">COUNTIFS(Improvements!$G$2:$G$62,A26,Improvements!$H$2:$H$62,"Done")</f>
        <v>0</v>
      </c>
      <c r="D26" s="9" t="n">
        <f aca="false">IFERROR(C26/B26,0)</f>
        <v>0</v>
      </c>
    </row>
    <row r="27" customFormat="false" ht="15" hidden="false" customHeight="false" outlineLevel="0" collapsed="false">
      <c r="A27" s="5" t="s">
        <v>26</v>
      </c>
      <c r="B27" s="6" t="n">
        <f aca="false">COUNTIF(Improvements!$G$2:$G$62,A27)</f>
        <v>10</v>
      </c>
      <c r="C27" s="6" t="n">
        <f aca="false">COUNTIFS(Improvements!$G$2:$G$62,A27,Improvements!$H$2:$H$62,"Done")</f>
        <v>0</v>
      </c>
      <c r="D27" s="9" t="n">
        <f aca="false">IFERROR(C27/B27,0)</f>
        <v>0</v>
      </c>
    </row>
    <row r="28" customFormat="false" ht="15" hidden="false" customHeight="false" outlineLevel="0" collapsed="false">
      <c r="A28" s="5" t="s">
        <v>27</v>
      </c>
      <c r="B28" s="6" t="n">
        <f aca="false">COUNTIF(Improvements!$G$2:$G$62,A28)</f>
        <v>29</v>
      </c>
      <c r="C28" s="6" t="n">
        <f aca="false">COUNTIFS(Improvements!$G$2:$G$62,A28,Improvements!$H$2:$H$62,"Done")</f>
        <v>0</v>
      </c>
      <c r="D28" s="9" t="n">
        <f aca="false">IFERROR(C28/B28,0)</f>
        <v>0</v>
      </c>
    </row>
    <row r="30" customFormat="false" ht="15" hidden="false" customHeight="false" outlineLevel="0" collapsed="false">
      <c r="A30" s="3" t="s">
        <v>28</v>
      </c>
      <c r="B30" s="4" t="s">
        <v>29</v>
      </c>
      <c r="C30" s="4" t="s">
        <v>30</v>
      </c>
      <c r="D30" s="4" t="s">
        <v>31</v>
      </c>
    </row>
    <row r="31" customFormat="false" ht="15" hidden="false" customHeight="false" outlineLevel="0" collapsed="false">
      <c r="A31" s="5" t="s">
        <v>32</v>
      </c>
      <c r="B31" s="6" t="n">
        <f aca="false">COUNTIFS(Improvements!$E$2:$E$62,$A31,Improvements!$F$2:$F$62,B$30)</f>
        <v>4</v>
      </c>
      <c r="C31" s="6" t="n">
        <f aca="false">COUNTIFS(Improvements!$E$2:$E$62,$A31,Improvements!$F$2:$F$62,C$30)</f>
        <v>4</v>
      </c>
      <c r="D31" s="6" t="n">
        <f aca="false">COUNTIFS(Improvements!$E$2:$E$62,$A31,Improvements!$F$2:$F$62,D$30)</f>
        <v>1</v>
      </c>
    </row>
    <row r="32" customFormat="false" ht="15" hidden="false" customHeight="false" outlineLevel="0" collapsed="false">
      <c r="A32" s="5" t="s">
        <v>33</v>
      </c>
      <c r="B32" s="6" t="n">
        <f aca="false">COUNTIFS(Improvements!$E$2:$E$62,$A32,Improvements!$F$2:$F$62,B$30)</f>
        <v>14</v>
      </c>
      <c r="C32" s="6" t="n">
        <f aca="false">COUNTIFS(Improvements!$E$2:$E$62,$A32,Improvements!$F$2:$F$62,C$30)</f>
        <v>12</v>
      </c>
      <c r="D32" s="6" t="n">
        <f aca="false">COUNTIFS(Improvements!$E$2:$E$62,$A32,Improvements!$F$2:$F$62,D$30)</f>
        <v>0</v>
      </c>
    </row>
    <row r="33" customFormat="false" ht="15" hidden="false" customHeight="false" outlineLevel="0" collapsed="false">
      <c r="A33" s="5" t="s">
        <v>34</v>
      </c>
      <c r="B33" s="6" t="n">
        <f aca="false">COUNTIFS(Improvements!$E$2:$E$62,$A33,Improvements!$F$2:$F$62,B$30)</f>
        <v>20</v>
      </c>
      <c r="C33" s="6" t="n">
        <f aca="false">COUNTIFS(Improvements!$E$2:$E$62,$A33,Improvements!$F$2:$F$62,C$30)</f>
        <v>4</v>
      </c>
      <c r="D33" s="6" t="n">
        <f aca="false">COUNTIFS(Improvements!$E$2:$E$62,$A33,Improvements!$F$2:$F$62,D$30)</f>
        <v>2</v>
      </c>
    </row>
    <row r="35" customFormat="false" ht="15" hidden="false" customHeight="false" outlineLevel="0" collapsed="false">
      <c r="A35" s="12" t="s">
        <v>35</v>
      </c>
    </row>
    <row r="36" customFormat="false" ht="25.5" hidden="false" customHeight="true" outlineLevel="0" collapsed="false">
      <c r="A36" s="13" t="s">
        <v>36</v>
      </c>
      <c r="B36" s="13"/>
      <c r="C36" s="13"/>
      <c r="D36" s="13"/>
      <c r="E36" s="13"/>
    </row>
    <row r="37" customFormat="false" ht="25.5" hidden="false" customHeight="true" outlineLevel="0" collapsed="false">
      <c r="A37" s="13" t="s">
        <v>37</v>
      </c>
      <c r="B37" s="13"/>
      <c r="C37" s="13"/>
      <c r="D37" s="13"/>
      <c r="E37" s="13"/>
    </row>
    <row r="38" customFormat="false" ht="25.5" hidden="false" customHeight="true" outlineLevel="0" collapsed="false">
      <c r="A38" s="13" t="s">
        <v>38</v>
      </c>
      <c r="B38" s="13"/>
      <c r="C38" s="13"/>
      <c r="D38" s="13"/>
      <c r="E38" s="13"/>
    </row>
    <row r="39" customFormat="false" ht="25.5" hidden="false" customHeight="true" outlineLevel="0" collapsed="false">
      <c r="A39" s="13" t="s">
        <v>39</v>
      </c>
      <c r="B39" s="13"/>
      <c r="C39" s="13"/>
      <c r="D39" s="13"/>
      <c r="E39" s="13"/>
    </row>
    <row r="40" customFormat="false" ht="25.5" hidden="false" customHeight="true" outlineLevel="0" collapsed="false">
      <c r="A40" s="13" t="s">
        <v>40</v>
      </c>
      <c r="B40" s="13"/>
      <c r="C40" s="13"/>
      <c r="D40" s="13"/>
      <c r="E40" s="13"/>
    </row>
    <row r="41" customFormat="false" ht="25.5" hidden="false" customHeight="true" outlineLevel="0" collapsed="false">
      <c r="A41" s="13" t="s">
        <v>41</v>
      </c>
      <c r="B41" s="13"/>
      <c r="C41" s="13"/>
      <c r="D41" s="13"/>
      <c r="E41" s="13"/>
    </row>
  </sheetData>
  <mergeCells count="6">
    <mergeCell ref="A36:E36"/>
    <mergeCell ref="A37:E37"/>
    <mergeCell ref="A38:E38"/>
    <mergeCell ref="A39:E39"/>
    <mergeCell ref="A40:E40"/>
    <mergeCell ref="A41:E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38"/>
    <col collapsed="false" customWidth="true" hidden="false" outlineLevel="0" max="4" min="4" style="0" width="72"/>
    <col collapsed="false" customWidth="true" hidden="false" outlineLevel="0" max="5" min="5" style="0" width="9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30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4" t="s">
        <v>42</v>
      </c>
      <c r="B1" s="14" t="s">
        <v>43</v>
      </c>
      <c r="C1" s="14" t="s">
        <v>44</v>
      </c>
      <c r="D1" s="14" t="s">
        <v>45</v>
      </c>
      <c r="E1" s="14" t="s">
        <v>46</v>
      </c>
      <c r="F1" s="14" t="s">
        <v>47</v>
      </c>
      <c r="G1" s="14" t="s">
        <v>48</v>
      </c>
      <c r="H1" s="14" t="s">
        <v>49</v>
      </c>
      <c r="I1" s="14" t="s">
        <v>50</v>
      </c>
      <c r="J1" s="14" t="s">
        <v>35</v>
      </c>
      <c r="K1" s="14" t="s">
        <v>51</v>
      </c>
    </row>
    <row r="2" customFormat="false" ht="23.85" hidden="false" customHeight="false" outlineLevel="0" collapsed="false">
      <c r="A2" s="15" t="n">
        <v>1</v>
      </c>
      <c r="B2" s="16" t="s">
        <v>13</v>
      </c>
      <c r="C2" s="16" t="s">
        <v>52</v>
      </c>
      <c r="D2" s="16" t="s">
        <v>53</v>
      </c>
      <c r="E2" s="15" t="s">
        <v>32</v>
      </c>
      <c r="F2" s="15" t="s">
        <v>29</v>
      </c>
      <c r="G2" s="17" t="s">
        <v>23</v>
      </c>
      <c r="H2" s="17" t="s">
        <v>5</v>
      </c>
      <c r="I2" s="18"/>
      <c r="J2" s="18"/>
      <c r="K2" s="19" t="n">
        <f aca="false">IF(E2="High",3,IF(E2="Med",2,1))/IF(F2="S",1,IF(F2="M",2,3))</f>
        <v>3</v>
      </c>
    </row>
    <row r="3" customFormat="false" ht="23.85" hidden="false" customHeight="false" outlineLevel="0" collapsed="false">
      <c r="A3" s="15" t="n">
        <v>2</v>
      </c>
      <c r="B3" s="16" t="s">
        <v>13</v>
      </c>
      <c r="C3" s="16" t="s">
        <v>54</v>
      </c>
      <c r="D3" s="16" t="s">
        <v>55</v>
      </c>
      <c r="E3" s="15" t="s">
        <v>32</v>
      </c>
      <c r="F3" s="15" t="s">
        <v>29</v>
      </c>
      <c r="G3" s="17" t="s">
        <v>23</v>
      </c>
      <c r="H3" s="17" t="s">
        <v>5</v>
      </c>
      <c r="I3" s="18"/>
      <c r="J3" s="18"/>
      <c r="K3" s="19" t="n">
        <f aca="false">IF(E3="High",3,IF(E3="Med",2,1))/IF(F3="S",1,IF(F3="M",2,3))</f>
        <v>3</v>
      </c>
    </row>
    <row r="4" customFormat="false" ht="15" hidden="false" customHeight="false" outlineLevel="0" collapsed="false">
      <c r="A4" s="15" t="n">
        <v>3</v>
      </c>
      <c r="B4" s="16" t="s">
        <v>13</v>
      </c>
      <c r="C4" s="16" t="s">
        <v>56</v>
      </c>
      <c r="D4" s="16" t="s">
        <v>57</v>
      </c>
      <c r="E4" s="15" t="s">
        <v>32</v>
      </c>
      <c r="F4" s="15" t="s">
        <v>30</v>
      </c>
      <c r="G4" s="17" t="s">
        <v>24</v>
      </c>
      <c r="H4" s="17" t="s">
        <v>5</v>
      </c>
      <c r="I4" s="18"/>
      <c r="J4" s="18"/>
      <c r="K4" s="19" t="n">
        <f aca="false">IF(E4="High",3,IF(E4="Med",2,1))/IF(F4="S",1,IF(F4="M",2,3))</f>
        <v>1.5</v>
      </c>
    </row>
    <row r="5" customFormat="false" ht="23.85" hidden="false" customHeight="false" outlineLevel="0" collapsed="false">
      <c r="A5" s="15" t="n">
        <v>4</v>
      </c>
      <c r="B5" s="16" t="s">
        <v>13</v>
      </c>
      <c r="C5" s="16" t="s">
        <v>58</v>
      </c>
      <c r="D5" s="16" t="s">
        <v>59</v>
      </c>
      <c r="E5" s="15" t="s">
        <v>32</v>
      </c>
      <c r="F5" s="15" t="s">
        <v>30</v>
      </c>
      <c r="G5" s="17" t="s">
        <v>23</v>
      </c>
      <c r="H5" s="17" t="s">
        <v>5</v>
      </c>
      <c r="I5" s="18"/>
      <c r="J5" s="18"/>
      <c r="K5" s="19" t="n">
        <f aca="false">IF(E5="High",3,IF(E5="Med",2,1))/IF(F5="S",1,IF(F5="M",2,3))</f>
        <v>1.5</v>
      </c>
    </row>
    <row r="6" customFormat="false" ht="15" hidden="false" customHeight="false" outlineLevel="0" collapsed="false">
      <c r="A6" s="15" t="n">
        <v>5</v>
      </c>
      <c r="B6" s="16" t="s">
        <v>13</v>
      </c>
      <c r="C6" s="16" t="s">
        <v>60</v>
      </c>
      <c r="D6" s="16" t="s">
        <v>61</v>
      </c>
      <c r="E6" s="15" t="s">
        <v>33</v>
      </c>
      <c r="F6" s="15" t="s">
        <v>29</v>
      </c>
      <c r="G6" s="17" t="s">
        <v>27</v>
      </c>
      <c r="H6" s="17" t="s">
        <v>5</v>
      </c>
      <c r="I6" s="18"/>
      <c r="J6" s="18"/>
      <c r="K6" s="19" t="n">
        <f aca="false">IF(E6="High",3,IF(E6="Med",2,1))/IF(F6="S",1,IF(F6="M",2,3))</f>
        <v>2</v>
      </c>
    </row>
    <row r="7" customFormat="false" ht="15" hidden="false" customHeight="false" outlineLevel="0" collapsed="false">
      <c r="A7" s="15" t="n">
        <v>6</v>
      </c>
      <c r="B7" s="16" t="s">
        <v>13</v>
      </c>
      <c r="C7" s="16" t="s">
        <v>62</v>
      </c>
      <c r="D7" s="16" t="s">
        <v>63</v>
      </c>
      <c r="E7" s="15" t="s">
        <v>33</v>
      </c>
      <c r="F7" s="15" t="s">
        <v>29</v>
      </c>
      <c r="G7" s="17" t="s">
        <v>24</v>
      </c>
      <c r="H7" s="17" t="s">
        <v>5</v>
      </c>
      <c r="I7" s="18"/>
      <c r="J7" s="18"/>
      <c r="K7" s="19" t="n">
        <f aca="false">IF(E7="High",3,IF(E7="Med",2,1))/IF(F7="S",1,IF(F7="M",2,3))</f>
        <v>2</v>
      </c>
    </row>
    <row r="8" customFormat="false" ht="15" hidden="false" customHeight="false" outlineLevel="0" collapsed="false">
      <c r="A8" s="15" t="n">
        <v>7</v>
      </c>
      <c r="B8" s="16" t="s">
        <v>13</v>
      </c>
      <c r="C8" s="16" t="s">
        <v>64</v>
      </c>
      <c r="D8" s="16" t="s">
        <v>65</v>
      </c>
      <c r="E8" s="15" t="s">
        <v>33</v>
      </c>
      <c r="F8" s="15" t="s">
        <v>29</v>
      </c>
      <c r="G8" s="17" t="s">
        <v>27</v>
      </c>
      <c r="H8" s="17" t="s">
        <v>5</v>
      </c>
      <c r="I8" s="18"/>
      <c r="J8" s="18"/>
      <c r="K8" s="19" t="n">
        <f aca="false">IF(E8="High",3,IF(E8="Med",2,1))/IF(F8="S",1,IF(F8="M",2,3))</f>
        <v>2</v>
      </c>
    </row>
    <row r="9" customFormat="false" ht="15" hidden="false" customHeight="false" outlineLevel="0" collapsed="false">
      <c r="A9" s="15" t="n">
        <v>8</v>
      </c>
      <c r="B9" s="16" t="s">
        <v>13</v>
      </c>
      <c r="C9" s="16" t="s">
        <v>66</v>
      </c>
      <c r="D9" s="16" t="s">
        <v>67</v>
      </c>
      <c r="E9" s="15" t="s">
        <v>34</v>
      </c>
      <c r="F9" s="15" t="s">
        <v>29</v>
      </c>
      <c r="G9" s="17" t="s">
        <v>27</v>
      </c>
      <c r="H9" s="17" t="s">
        <v>5</v>
      </c>
      <c r="I9" s="18"/>
      <c r="J9" s="18"/>
      <c r="K9" s="19" t="n">
        <f aca="false">IF(E9="High",3,IF(E9="Med",2,1))/IF(F9="S",1,IF(F9="M",2,3))</f>
        <v>1</v>
      </c>
    </row>
    <row r="10" customFormat="false" ht="15" hidden="false" customHeight="false" outlineLevel="0" collapsed="false">
      <c r="A10" s="15" t="n">
        <v>9</v>
      </c>
      <c r="B10" s="16" t="s">
        <v>13</v>
      </c>
      <c r="C10" s="16" t="s">
        <v>68</v>
      </c>
      <c r="D10" s="16" t="s">
        <v>69</v>
      </c>
      <c r="E10" s="15" t="s">
        <v>34</v>
      </c>
      <c r="F10" s="15" t="s">
        <v>29</v>
      </c>
      <c r="G10" s="17" t="s">
        <v>27</v>
      </c>
      <c r="H10" s="17" t="s">
        <v>5</v>
      </c>
      <c r="I10" s="18"/>
      <c r="J10" s="18"/>
      <c r="K10" s="19" t="n">
        <f aca="false">IF(E10="High",3,IF(E10="Med",2,1))/IF(F10="S",1,IF(F10="M",2,3))</f>
        <v>1</v>
      </c>
    </row>
    <row r="11" customFormat="false" ht="23.85" hidden="false" customHeight="false" outlineLevel="0" collapsed="false">
      <c r="A11" s="15" t="n">
        <v>10</v>
      </c>
      <c r="B11" s="16" t="s">
        <v>13</v>
      </c>
      <c r="C11" s="16" t="s">
        <v>70</v>
      </c>
      <c r="D11" s="16" t="s">
        <v>71</v>
      </c>
      <c r="E11" s="15" t="s">
        <v>33</v>
      </c>
      <c r="F11" s="15" t="s">
        <v>30</v>
      </c>
      <c r="G11" s="17" t="s">
        <v>27</v>
      </c>
      <c r="H11" s="17" t="s">
        <v>5</v>
      </c>
      <c r="I11" s="18"/>
      <c r="J11" s="18"/>
      <c r="K11" s="19" t="n">
        <f aca="false">IF(E11="High",3,IF(E11="Med",2,1))/IF(F11="S",1,IF(F11="M",2,3))</f>
        <v>1</v>
      </c>
    </row>
    <row r="12" customFormat="false" ht="15" hidden="false" customHeight="false" outlineLevel="0" collapsed="false">
      <c r="A12" s="15" t="n">
        <v>11</v>
      </c>
      <c r="B12" s="16" t="s">
        <v>13</v>
      </c>
      <c r="C12" s="16" t="s">
        <v>72</v>
      </c>
      <c r="D12" s="16" t="s">
        <v>73</v>
      </c>
      <c r="E12" s="15" t="s">
        <v>34</v>
      </c>
      <c r="F12" s="15" t="s">
        <v>31</v>
      </c>
      <c r="G12" s="17" t="s">
        <v>27</v>
      </c>
      <c r="H12" s="17" t="s">
        <v>5</v>
      </c>
      <c r="I12" s="18"/>
      <c r="J12" s="18"/>
      <c r="K12" s="19" t="n">
        <f aca="false">IF(E12="High",3,IF(E12="Med",2,1))/IF(F12="S",1,IF(F12="M",2,3))</f>
        <v>0.333333333333333</v>
      </c>
    </row>
    <row r="13" customFormat="false" ht="23.85" hidden="false" customHeight="false" outlineLevel="0" collapsed="false">
      <c r="A13" s="15" t="n">
        <v>12</v>
      </c>
      <c r="B13" s="16" t="s">
        <v>14</v>
      </c>
      <c r="C13" s="16" t="s">
        <v>74</v>
      </c>
      <c r="D13" s="16" t="s">
        <v>75</v>
      </c>
      <c r="E13" s="15" t="s">
        <v>32</v>
      </c>
      <c r="F13" s="15" t="s">
        <v>31</v>
      </c>
      <c r="G13" s="17" t="s">
        <v>25</v>
      </c>
      <c r="H13" s="17" t="s">
        <v>5</v>
      </c>
      <c r="I13" s="18"/>
      <c r="J13" s="18"/>
      <c r="K13" s="19" t="n">
        <f aca="false">IF(E13="High",3,IF(E13="Med",2,1))/IF(F13="S",1,IF(F13="M",2,3))</f>
        <v>1</v>
      </c>
    </row>
    <row r="14" customFormat="false" ht="23.85" hidden="false" customHeight="false" outlineLevel="0" collapsed="false">
      <c r="A14" s="15" t="n">
        <v>13</v>
      </c>
      <c r="B14" s="16" t="s">
        <v>14</v>
      </c>
      <c r="C14" s="16" t="s">
        <v>76</v>
      </c>
      <c r="D14" s="16" t="s">
        <v>77</v>
      </c>
      <c r="E14" s="15" t="s">
        <v>32</v>
      </c>
      <c r="F14" s="15" t="s">
        <v>29</v>
      </c>
      <c r="G14" s="17" t="s">
        <v>23</v>
      </c>
      <c r="H14" s="17" t="s">
        <v>5</v>
      </c>
      <c r="I14" s="18"/>
      <c r="J14" s="18"/>
      <c r="K14" s="19" t="n">
        <f aca="false">IF(E14="High",3,IF(E14="Med",2,1))/IF(F14="S",1,IF(F14="M",2,3))</f>
        <v>3</v>
      </c>
    </row>
    <row r="15" customFormat="false" ht="15" hidden="false" customHeight="false" outlineLevel="0" collapsed="false">
      <c r="A15" s="15" t="n">
        <v>14</v>
      </c>
      <c r="B15" s="16" t="s">
        <v>14</v>
      </c>
      <c r="C15" s="16" t="s">
        <v>78</v>
      </c>
      <c r="D15" s="16" t="s">
        <v>79</v>
      </c>
      <c r="E15" s="15" t="s">
        <v>33</v>
      </c>
      <c r="F15" s="15" t="s">
        <v>29</v>
      </c>
      <c r="G15" s="17" t="s">
        <v>24</v>
      </c>
      <c r="H15" s="17" t="s">
        <v>5</v>
      </c>
      <c r="I15" s="18"/>
      <c r="J15" s="18"/>
      <c r="K15" s="19" t="n">
        <f aca="false">IF(E15="High",3,IF(E15="Med",2,1))/IF(F15="S",1,IF(F15="M",2,3))</f>
        <v>2</v>
      </c>
    </row>
    <row r="16" customFormat="false" ht="23.85" hidden="false" customHeight="false" outlineLevel="0" collapsed="false">
      <c r="A16" s="15" t="n">
        <v>15</v>
      </c>
      <c r="B16" s="16" t="s">
        <v>14</v>
      </c>
      <c r="C16" s="16" t="s">
        <v>80</v>
      </c>
      <c r="D16" s="16" t="s">
        <v>81</v>
      </c>
      <c r="E16" s="15" t="s">
        <v>33</v>
      </c>
      <c r="F16" s="15" t="s">
        <v>30</v>
      </c>
      <c r="G16" s="17" t="s">
        <v>27</v>
      </c>
      <c r="H16" s="17" t="s">
        <v>5</v>
      </c>
      <c r="I16" s="18"/>
      <c r="J16" s="18"/>
      <c r="K16" s="19" t="n">
        <f aca="false">IF(E16="High",3,IF(E16="Med",2,1))/IF(F16="S",1,IF(F16="M",2,3))</f>
        <v>1</v>
      </c>
    </row>
    <row r="17" customFormat="false" ht="23.85" hidden="false" customHeight="false" outlineLevel="0" collapsed="false">
      <c r="A17" s="15" t="n">
        <v>16</v>
      </c>
      <c r="B17" s="16" t="s">
        <v>14</v>
      </c>
      <c r="C17" s="16" t="s">
        <v>82</v>
      </c>
      <c r="D17" s="16" t="s">
        <v>83</v>
      </c>
      <c r="E17" s="15" t="s">
        <v>33</v>
      </c>
      <c r="F17" s="15" t="s">
        <v>30</v>
      </c>
      <c r="G17" s="17" t="s">
        <v>25</v>
      </c>
      <c r="H17" s="17" t="s">
        <v>5</v>
      </c>
      <c r="I17" s="18"/>
      <c r="J17" s="18"/>
      <c r="K17" s="19" t="n">
        <f aca="false">IF(E17="High",3,IF(E17="Med",2,1))/IF(F17="S",1,IF(F17="M",2,3))</f>
        <v>1</v>
      </c>
    </row>
    <row r="18" customFormat="false" ht="23.85" hidden="false" customHeight="false" outlineLevel="0" collapsed="false">
      <c r="A18" s="15" t="n">
        <v>17</v>
      </c>
      <c r="B18" s="16" t="s">
        <v>14</v>
      </c>
      <c r="C18" s="16" t="s">
        <v>84</v>
      </c>
      <c r="D18" s="16" t="s">
        <v>85</v>
      </c>
      <c r="E18" s="15" t="s">
        <v>33</v>
      </c>
      <c r="F18" s="15" t="s">
        <v>30</v>
      </c>
      <c r="G18" s="17" t="s">
        <v>25</v>
      </c>
      <c r="H18" s="17" t="s">
        <v>5</v>
      </c>
      <c r="I18" s="18"/>
      <c r="J18" s="18"/>
      <c r="K18" s="19" t="n">
        <f aca="false">IF(E18="High",3,IF(E18="Med",2,1))/IF(F18="S",1,IF(F18="M",2,3))</f>
        <v>1</v>
      </c>
    </row>
    <row r="19" customFormat="false" ht="23.85" hidden="false" customHeight="false" outlineLevel="0" collapsed="false">
      <c r="A19" s="15" t="n">
        <v>18</v>
      </c>
      <c r="B19" s="16" t="s">
        <v>14</v>
      </c>
      <c r="C19" s="16" t="s">
        <v>86</v>
      </c>
      <c r="D19" s="16" t="s">
        <v>87</v>
      </c>
      <c r="E19" s="15" t="s">
        <v>33</v>
      </c>
      <c r="F19" s="15" t="s">
        <v>30</v>
      </c>
      <c r="G19" s="17" t="s">
        <v>25</v>
      </c>
      <c r="H19" s="17" t="s">
        <v>5</v>
      </c>
      <c r="I19" s="18"/>
      <c r="J19" s="18"/>
      <c r="K19" s="19" t="n">
        <f aca="false">IF(E19="High",3,IF(E19="Med",2,1))/IF(F19="S",1,IF(F19="M",2,3))</f>
        <v>1</v>
      </c>
    </row>
    <row r="20" customFormat="false" ht="23.85" hidden="false" customHeight="false" outlineLevel="0" collapsed="false">
      <c r="A20" s="15" t="n">
        <v>19</v>
      </c>
      <c r="B20" s="16" t="s">
        <v>14</v>
      </c>
      <c r="C20" s="16" t="s">
        <v>88</v>
      </c>
      <c r="D20" s="16" t="s">
        <v>89</v>
      </c>
      <c r="E20" s="15" t="s">
        <v>33</v>
      </c>
      <c r="F20" s="15" t="s">
        <v>30</v>
      </c>
      <c r="G20" s="17" t="s">
        <v>25</v>
      </c>
      <c r="H20" s="17" t="s">
        <v>5</v>
      </c>
      <c r="I20" s="18"/>
      <c r="J20" s="18"/>
      <c r="K20" s="19" t="n">
        <f aca="false">IF(E20="High",3,IF(E20="Med",2,1))/IF(F20="S",1,IF(F20="M",2,3))</f>
        <v>1</v>
      </c>
    </row>
    <row r="21" customFormat="false" ht="15" hidden="false" customHeight="false" outlineLevel="0" collapsed="false">
      <c r="A21" s="15" t="n">
        <v>20</v>
      </c>
      <c r="B21" s="16" t="s">
        <v>14</v>
      </c>
      <c r="C21" s="16" t="s">
        <v>90</v>
      </c>
      <c r="D21" s="16" t="s">
        <v>91</v>
      </c>
      <c r="E21" s="15" t="s">
        <v>33</v>
      </c>
      <c r="F21" s="15" t="s">
        <v>30</v>
      </c>
      <c r="G21" s="17" t="s">
        <v>24</v>
      </c>
      <c r="H21" s="17" t="s">
        <v>5</v>
      </c>
      <c r="I21" s="18"/>
      <c r="J21" s="18"/>
      <c r="K21" s="19" t="n">
        <f aca="false">IF(E21="High",3,IF(E21="Med",2,1))/IF(F21="S",1,IF(F21="M",2,3))</f>
        <v>1</v>
      </c>
    </row>
    <row r="22" customFormat="false" ht="15" hidden="false" customHeight="false" outlineLevel="0" collapsed="false">
      <c r="A22" s="15" t="n">
        <v>21</v>
      </c>
      <c r="B22" s="16" t="s">
        <v>14</v>
      </c>
      <c r="C22" s="16" t="s">
        <v>92</v>
      </c>
      <c r="D22" s="16" t="s">
        <v>93</v>
      </c>
      <c r="E22" s="15" t="s">
        <v>34</v>
      </c>
      <c r="F22" s="15" t="s">
        <v>30</v>
      </c>
      <c r="G22" s="17" t="s">
        <v>27</v>
      </c>
      <c r="H22" s="17" t="s">
        <v>5</v>
      </c>
      <c r="I22" s="18"/>
      <c r="J22" s="18"/>
      <c r="K22" s="19" t="n">
        <f aca="false">IF(E22="High",3,IF(E22="Med",2,1))/IF(F22="S",1,IF(F22="M",2,3))</f>
        <v>0.5</v>
      </c>
    </row>
    <row r="23" customFormat="false" ht="15" hidden="false" customHeight="false" outlineLevel="0" collapsed="false">
      <c r="A23" s="15" t="n">
        <v>22</v>
      </c>
      <c r="B23" s="16" t="s">
        <v>14</v>
      </c>
      <c r="C23" s="16" t="s">
        <v>94</v>
      </c>
      <c r="D23" s="16" t="s">
        <v>95</v>
      </c>
      <c r="E23" s="15" t="s">
        <v>34</v>
      </c>
      <c r="F23" s="15" t="s">
        <v>31</v>
      </c>
      <c r="G23" s="17" t="s">
        <v>27</v>
      </c>
      <c r="H23" s="17" t="s">
        <v>5</v>
      </c>
      <c r="I23" s="18"/>
      <c r="J23" s="18"/>
      <c r="K23" s="19" t="n">
        <f aca="false">IF(E23="High",3,IF(E23="Med",2,1))/IF(F23="S",1,IF(F23="M",2,3))</f>
        <v>0.333333333333333</v>
      </c>
    </row>
    <row r="24" customFormat="false" ht="15" hidden="false" customHeight="false" outlineLevel="0" collapsed="false">
      <c r="A24" s="15" t="n">
        <v>23</v>
      </c>
      <c r="B24" s="16" t="s">
        <v>14</v>
      </c>
      <c r="C24" s="16" t="s">
        <v>96</v>
      </c>
      <c r="D24" s="16" t="s">
        <v>97</v>
      </c>
      <c r="E24" s="15" t="s">
        <v>34</v>
      </c>
      <c r="F24" s="15" t="s">
        <v>30</v>
      </c>
      <c r="G24" s="17" t="s">
        <v>27</v>
      </c>
      <c r="H24" s="17" t="s">
        <v>5</v>
      </c>
      <c r="I24" s="18"/>
      <c r="J24" s="18"/>
      <c r="K24" s="19" t="n">
        <f aca="false">IF(E24="High",3,IF(E24="Med",2,1))/IF(F24="S",1,IF(F24="M",2,3))</f>
        <v>0.5</v>
      </c>
    </row>
    <row r="25" customFormat="false" ht="23.85" hidden="false" customHeight="false" outlineLevel="0" collapsed="false">
      <c r="A25" s="15" t="n">
        <v>24</v>
      </c>
      <c r="B25" s="16" t="s">
        <v>15</v>
      </c>
      <c r="C25" s="16" t="s">
        <v>98</v>
      </c>
      <c r="D25" s="16" t="s">
        <v>99</v>
      </c>
      <c r="E25" s="15" t="s">
        <v>32</v>
      </c>
      <c r="F25" s="15" t="s">
        <v>29</v>
      </c>
      <c r="G25" s="17" t="s">
        <v>23</v>
      </c>
      <c r="H25" s="17" t="s">
        <v>5</v>
      </c>
      <c r="I25" s="18"/>
      <c r="J25" s="18"/>
      <c r="K25" s="19" t="n">
        <f aca="false">IF(E25="High",3,IF(E25="Med",2,1))/IF(F25="S",1,IF(F25="M",2,3))</f>
        <v>3</v>
      </c>
    </row>
    <row r="26" customFormat="false" ht="15" hidden="false" customHeight="false" outlineLevel="0" collapsed="false">
      <c r="A26" s="15" t="n">
        <v>25</v>
      </c>
      <c r="B26" s="16" t="s">
        <v>15</v>
      </c>
      <c r="C26" s="16" t="s">
        <v>100</v>
      </c>
      <c r="D26" s="16" t="s">
        <v>101</v>
      </c>
      <c r="E26" s="15" t="s">
        <v>33</v>
      </c>
      <c r="F26" s="15" t="s">
        <v>29</v>
      </c>
      <c r="G26" s="17" t="s">
        <v>24</v>
      </c>
      <c r="H26" s="17" t="s">
        <v>5</v>
      </c>
      <c r="I26" s="18"/>
      <c r="J26" s="18"/>
      <c r="K26" s="19" t="n">
        <f aca="false">IF(E26="High",3,IF(E26="Med",2,1))/IF(F26="S",1,IF(F26="M",2,3))</f>
        <v>2</v>
      </c>
    </row>
    <row r="27" customFormat="false" ht="15" hidden="false" customHeight="false" outlineLevel="0" collapsed="false">
      <c r="A27" s="15" t="n">
        <v>26</v>
      </c>
      <c r="B27" s="16" t="s">
        <v>15</v>
      </c>
      <c r="C27" s="16" t="s">
        <v>102</v>
      </c>
      <c r="D27" s="16" t="s">
        <v>103</v>
      </c>
      <c r="E27" s="15" t="s">
        <v>34</v>
      </c>
      <c r="F27" s="15" t="s">
        <v>29</v>
      </c>
      <c r="G27" s="17" t="s">
        <v>27</v>
      </c>
      <c r="H27" s="17" t="s">
        <v>5</v>
      </c>
      <c r="I27" s="18"/>
      <c r="J27" s="18"/>
      <c r="K27" s="19" t="n">
        <f aca="false">IF(E27="High",3,IF(E27="Med",2,1))/IF(F27="S",1,IF(F27="M",2,3))</f>
        <v>1</v>
      </c>
    </row>
    <row r="28" customFormat="false" ht="23.85" hidden="false" customHeight="false" outlineLevel="0" collapsed="false">
      <c r="A28" s="15" t="n">
        <v>27</v>
      </c>
      <c r="B28" s="16" t="s">
        <v>15</v>
      </c>
      <c r="C28" s="16" t="s">
        <v>104</v>
      </c>
      <c r="D28" s="16" t="s">
        <v>105</v>
      </c>
      <c r="E28" s="15" t="s">
        <v>34</v>
      </c>
      <c r="F28" s="15" t="s">
        <v>29</v>
      </c>
      <c r="G28" s="17" t="s">
        <v>27</v>
      </c>
      <c r="H28" s="17" t="s">
        <v>5</v>
      </c>
      <c r="I28" s="18"/>
      <c r="J28" s="18"/>
      <c r="K28" s="19" t="n">
        <f aca="false">IF(E28="High",3,IF(E28="Med",2,1))/IF(F28="S",1,IF(F28="M",2,3))</f>
        <v>1</v>
      </c>
    </row>
    <row r="29" customFormat="false" ht="35.05" hidden="false" customHeight="false" outlineLevel="0" collapsed="false">
      <c r="A29" s="15" t="n">
        <v>28</v>
      </c>
      <c r="B29" s="16" t="s">
        <v>15</v>
      </c>
      <c r="C29" s="16" t="s">
        <v>106</v>
      </c>
      <c r="D29" s="16" t="s">
        <v>107</v>
      </c>
      <c r="E29" s="15" t="s">
        <v>32</v>
      </c>
      <c r="F29" s="15" t="s">
        <v>30</v>
      </c>
      <c r="G29" s="17" t="s">
        <v>24</v>
      </c>
      <c r="H29" s="17" t="s">
        <v>5</v>
      </c>
      <c r="I29" s="18"/>
      <c r="J29" s="18"/>
      <c r="K29" s="19" t="n">
        <f aca="false">IF(E29="High",3,IF(E29="Med",2,1))/IF(F29="S",1,IF(F29="M",2,3))</f>
        <v>1.5</v>
      </c>
    </row>
    <row r="30" customFormat="false" ht="23.85" hidden="false" customHeight="false" outlineLevel="0" collapsed="false">
      <c r="A30" s="15" t="n">
        <v>29</v>
      </c>
      <c r="B30" s="16" t="s">
        <v>15</v>
      </c>
      <c r="C30" s="16" t="s">
        <v>108</v>
      </c>
      <c r="D30" s="16" t="s">
        <v>109</v>
      </c>
      <c r="E30" s="15" t="s">
        <v>33</v>
      </c>
      <c r="F30" s="15" t="s">
        <v>29</v>
      </c>
      <c r="G30" s="17" t="s">
        <v>24</v>
      </c>
      <c r="H30" s="17" t="s">
        <v>5</v>
      </c>
      <c r="I30" s="18"/>
      <c r="J30" s="18"/>
      <c r="K30" s="19" t="n">
        <f aca="false">IF(E30="High",3,IF(E30="Med",2,1))/IF(F30="S",1,IF(F30="M",2,3))</f>
        <v>2</v>
      </c>
    </row>
    <row r="31" customFormat="false" ht="15" hidden="false" customHeight="false" outlineLevel="0" collapsed="false">
      <c r="A31" s="15" t="n">
        <v>30</v>
      </c>
      <c r="B31" s="16" t="s">
        <v>15</v>
      </c>
      <c r="C31" s="16" t="s">
        <v>110</v>
      </c>
      <c r="D31" s="16" t="s">
        <v>111</v>
      </c>
      <c r="E31" s="15" t="s">
        <v>34</v>
      </c>
      <c r="F31" s="15" t="s">
        <v>29</v>
      </c>
      <c r="G31" s="17" t="s">
        <v>27</v>
      </c>
      <c r="H31" s="17" t="s">
        <v>5</v>
      </c>
      <c r="I31" s="18"/>
      <c r="J31" s="18"/>
      <c r="K31" s="19" t="n">
        <f aca="false">IF(E31="High",3,IF(E31="Med",2,1))/IF(F31="S",1,IF(F31="M",2,3))</f>
        <v>1</v>
      </c>
    </row>
    <row r="32" customFormat="false" ht="15" hidden="false" customHeight="false" outlineLevel="0" collapsed="false">
      <c r="A32" s="15" t="n">
        <v>31</v>
      </c>
      <c r="B32" s="16" t="s">
        <v>16</v>
      </c>
      <c r="C32" s="16" t="s">
        <v>112</v>
      </c>
      <c r="D32" s="16" t="s">
        <v>113</v>
      </c>
      <c r="E32" s="15" t="s">
        <v>33</v>
      </c>
      <c r="F32" s="15" t="s">
        <v>29</v>
      </c>
      <c r="G32" s="17" t="s">
        <v>27</v>
      </c>
      <c r="H32" s="17" t="s">
        <v>5</v>
      </c>
      <c r="I32" s="18"/>
      <c r="J32" s="18"/>
      <c r="K32" s="19" t="n">
        <f aca="false">IF(E32="High",3,IF(E32="Med",2,1))/IF(F32="S",1,IF(F32="M",2,3))</f>
        <v>2</v>
      </c>
    </row>
    <row r="33" customFormat="false" ht="15" hidden="false" customHeight="false" outlineLevel="0" collapsed="false">
      <c r="A33" s="15" t="n">
        <v>32</v>
      </c>
      <c r="B33" s="16" t="s">
        <v>16</v>
      </c>
      <c r="C33" s="16" t="s">
        <v>114</v>
      </c>
      <c r="D33" s="16" t="s">
        <v>115</v>
      </c>
      <c r="E33" s="15" t="s">
        <v>33</v>
      </c>
      <c r="F33" s="15" t="s">
        <v>29</v>
      </c>
      <c r="G33" s="17" t="s">
        <v>25</v>
      </c>
      <c r="H33" s="17" t="s">
        <v>5</v>
      </c>
      <c r="I33" s="18"/>
      <c r="J33" s="18"/>
      <c r="K33" s="19" t="n">
        <f aca="false">IF(E33="High",3,IF(E33="Med",2,1))/IF(F33="S",1,IF(F33="M",2,3))</f>
        <v>2</v>
      </c>
    </row>
    <row r="34" customFormat="false" ht="15" hidden="false" customHeight="false" outlineLevel="0" collapsed="false">
      <c r="A34" s="15" t="n">
        <v>33</v>
      </c>
      <c r="B34" s="16" t="s">
        <v>16</v>
      </c>
      <c r="C34" s="16" t="s">
        <v>116</v>
      </c>
      <c r="D34" s="16" t="s">
        <v>117</v>
      </c>
      <c r="E34" s="15" t="s">
        <v>34</v>
      </c>
      <c r="F34" s="15" t="s">
        <v>29</v>
      </c>
      <c r="G34" s="17" t="s">
        <v>27</v>
      </c>
      <c r="H34" s="17" t="s">
        <v>5</v>
      </c>
      <c r="I34" s="18"/>
      <c r="J34" s="18"/>
      <c r="K34" s="19" t="n">
        <f aca="false">IF(E34="High",3,IF(E34="Med",2,1))/IF(F34="S",1,IF(F34="M",2,3))</f>
        <v>1</v>
      </c>
    </row>
    <row r="35" customFormat="false" ht="23.85" hidden="false" customHeight="false" outlineLevel="0" collapsed="false">
      <c r="A35" s="15" t="n">
        <v>34</v>
      </c>
      <c r="B35" s="16" t="s">
        <v>16</v>
      </c>
      <c r="C35" s="16" t="s">
        <v>118</v>
      </c>
      <c r="D35" s="16" t="s">
        <v>119</v>
      </c>
      <c r="E35" s="15" t="s">
        <v>33</v>
      </c>
      <c r="F35" s="15" t="s">
        <v>30</v>
      </c>
      <c r="G35" s="17" t="s">
        <v>25</v>
      </c>
      <c r="H35" s="17" t="s">
        <v>5</v>
      </c>
      <c r="I35" s="18"/>
      <c r="J35" s="18"/>
      <c r="K35" s="19" t="n">
        <f aca="false">IF(E35="High",3,IF(E35="Med",2,1))/IF(F35="S",1,IF(F35="M",2,3))</f>
        <v>1</v>
      </c>
    </row>
    <row r="36" customFormat="false" ht="15" hidden="false" customHeight="false" outlineLevel="0" collapsed="false">
      <c r="A36" s="15" t="n">
        <v>35</v>
      </c>
      <c r="B36" s="16" t="s">
        <v>16</v>
      </c>
      <c r="C36" s="16" t="s">
        <v>120</v>
      </c>
      <c r="D36" s="16" t="s">
        <v>121</v>
      </c>
      <c r="E36" s="15" t="s">
        <v>34</v>
      </c>
      <c r="F36" s="15" t="s">
        <v>29</v>
      </c>
      <c r="G36" s="17" t="s">
        <v>27</v>
      </c>
      <c r="H36" s="17" t="s">
        <v>5</v>
      </c>
      <c r="I36" s="18"/>
      <c r="J36" s="18"/>
      <c r="K36" s="19" t="n">
        <f aca="false">IF(E36="High",3,IF(E36="Med",2,1))/IF(F36="S",1,IF(F36="M",2,3))</f>
        <v>1</v>
      </c>
    </row>
    <row r="37" customFormat="false" ht="15" hidden="false" customHeight="false" outlineLevel="0" collapsed="false">
      <c r="A37" s="15" t="n">
        <v>36</v>
      </c>
      <c r="B37" s="16" t="s">
        <v>16</v>
      </c>
      <c r="C37" s="16" t="s">
        <v>122</v>
      </c>
      <c r="D37" s="16" t="s">
        <v>123</v>
      </c>
      <c r="E37" s="15" t="s">
        <v>34</v>
      </c>
      <c r="F37" s="15" t="s">
        <v>29</v>
      </c>
      <c r="G37" s="17" t="s">
        <v>27</v>
      </c>
      <c r="H37" s="17" t="s">
        <v>5</v>
      </c>
      <c r="I37" s="18"/>
      <c r="J37" s="18"/>
      <c r="K37" s="19" t="n">
        <f aca="false">IF(E37="High",3,IF(E37="Med",2,1))/IF(F37="S",1,IF(F37="M",2,3))</f>
        <v>1</v>
      </c>
    </row>
    <row r="38" customFormat="false" ht="15" hidden="false" customHeight="false" outlineLevel="0" collapsed="false">
      <c r="A38" s="15" t="n">
        <v>37</v>
      </c>
      <c r="B38" s="16" t="s">
        <v>16</v>
      </c>
      <c r="C38" s="16" t="s">
        <v>124</v>
      </c>
      <c r="D38" s="16" t="s">
        <v>125</v>
      </c>
      <c r="E38" s="15" t="s">
        <v>34</v>
      </c>
      <c r="F38" s="15" t="s">
        <v>29</v>
      </c>
      <c r="G38" s="17" t="s">
        <v>27</v>
      </c>
      <c r="H38" s="17" t="s">
        <v>5</v>
      </c>
      <c r="I38" s="18"/>
      <c r="J38" s="18"/>
      <c r="K38" s="19" t="n">
        <f aca="false">IF(E38="High",3,IF(E38="Med",2,1))/IF(F38="S",1,IF(F38="M",2,3))</f>
        <v>1</v>
      </c>
    </row>
    <row r="39" customFormat="false" ht="23.85" hidden="false" customHeight="false" outlineLevel="0" collapsed="false">
      <c r="A39" s="15" t="n">
        <v>38</v>
      </c>
      <c r="B39" s="16" t="s">
        <v>17</v>
      </c>
      <c r="C39" s="16" t="s">
        <v>126</v>
      </c>
      <c r="D39" s="16" t="s">
        <v>127</v>
      </c>
      <c r="E39" s="15" t="s">
        <v>33</v>
      </c>
      <c r="F39" s="15" t="s">
        <v>29</v>
      </c>
      <c r="G39" s="17" t="s">
        <v>23</v>
      </c>
      <c r="H39" s="17" t="s">
        <v>5</v>
      </c>
      <c r="I39" s="18"/>
      <c r="J39" s="18"/>
      <c r="K39" s="19" t="n">
        <f aca="false">IF(E39="High",3,IF(E39="Med",2,1))/IF(F39="S",1,IF(F39="M",2,3))</f>
        <v>2</v>
      </c>
    </row>
    <row r="40" customFormat="false" ht="15" hidden="false" customHeight="false" outlineLevel="0" collapsed="false">
      <c r="A40" s="15" t="n">
        <v>39</v>
      </c>
      <c r="B40" s="16" t="s">
        <v>17</v>
      </c>
      <c r="C40" s="16" t="s">
        <v>128</v>
      </c>
      <c r="D40" s="16" t="s">
        <v>129</v>
      </c>
      <c r="E40" s="15" t="s">
        <v>33</v>
      </c>
      <c r="F40" s="15" t="s">
        <v>29</v>
      </c>
      <c r="G40" s="17" t="s">
        <v>27</v>
      </c>
      <c r="H40" s="17" t="s">
        <v>5</v>
      </c>
      <c r="I40" s="18"/>
      <c r="J40" s="18"/>
      <c r="K40" s="19" t="n">
        <f aca="false">IF(E40="High",3,IF(E40="Med",2,1))/IF(F40="S",1,IF(F40="M",2,3))</f>
        <v>2</v>
      </c>
    </row>
    <row r="41" customFormat="false" ht="23.85" hidden="false" customHeight="false" outlineLevel="0" collapsed="false">
      <c r="A41" s="15" t="n">
        <v>40</v>
      </c>
      <c r="B41" s="16" t="s">
        <v>17</v>
      </c>
      <c r="C41" s="16" t="s">
        <v>130</v>
      </c>
      <c r="D41" s="16" t="s">
        <v>131</v>
      </c>
      <c r="E41" s="15" t="s">
        <v>33</v>
      </c>
      <c r="F41" s="15" t="s">
        <v>30</v>
      </c>
      <c r="G41" s="17" t="s">
        <v>27</v>
      </c>
      <c r="H41" s="17" t="s">
        <v>5</v>
      </c>
      <c r="I41" s="18"/>
      <c r="J41" s="18"/>
      <c r="K41" s="19" t="n">
        <f aca="false">IF(E41="High",3,IF(E41="Med",2,1))/IF(F41="S",1,IF(F41="M",2,3))</f>
        <v>1</v>
      </c>
    </row>
    <row r="42" customFormat="false" ht="15" hidden="false" customHeight="false" outlineLevel="0" collapsed="false">
      <c r="A42" s="15" t="n">
        <v>41</v>
      </c>
      <c r="B42" s="16" t="s">
        <v>17</v>
      </c>
      <c r="C42" s="16" t="s">
        <v>132</v>
      </c>
      <c r="D42" s="16" t="s">
        <v>133</v>
      </c>
      <c r="E42" s="15" t="s">
        <v>33</v>
      </c>
      <c r="F42" s="15" t="s">
        <v>29</v>
      </c>
      <c r="G42" s="17" t="s">
        <v>24</v>
      </c>
      <c r="H42" s="17" t="s">
        <v>5</v>
      </c>
      <c r="I42" s="18"/>
      <c r="J42" s="18"/>
      <c r="K42" s="19" t="n">
        <f aca="false">IF(E42="High",3,IF(E42="Med",2,1))/IF(F42="S",1,IF(F42="M",2,3))</f>
        <v>2</v>
      </c>
    </row>
    <row r="43" customFormat="false" ht="15" hidden="false" customHeight="false" outlineLevel="0" collapsed="false">
      <c r="A43" s="15" t="n">
        <v>42</v>
      </c>
      <c r="B43" s="16" t="s">
        <v>17</v>
      </c>
      <c r="C43" s="16" t="s">
        <v>134</v>
      </c>
      <c r="D43" s="16" t="s">
        <v>135</v>
      </c>
      <c r="E43" s="15" t="s">
        <v>33</v>
      </c>
      <c r="F43" s="15" t="s">
        <v>29</v>
      </c>
      <c r="G43" s="17" t="s">
        <v>24</v>
      </c>
      <c r="H43" s="17" t="s">
        <v>5</v>
      </c>
      <c r="I43" s="18"/>
      <c r="J43" s="18"/>
      <c r="K43" s="19" t="n">
        <f aca="false">IF(E43="High",3,IF(E43="Med",2,1))/IF(F43="S",1,IF(F43="M",2,3))</f>
        <v>2</v>
      </c>
    </row>
    <row r="44" customFormat="false" ht="15" hidden="false" customHeight="false" outlineLevel="0" collapsed="false">
      <c r="A44" s="15" t="n">
        <v>43</v>
      </c>
      <c r="B44" s="16" t="s">
        <v>17</v>
      </c>
      <c r="C44" s="16" t="s">
        <v>136</v>
      </c>
      <c r="D44" s="16" t="s">
        <v>137</v>
      </c>
      <c r="E44" s="15" t="s">
        <v>34</v>
      </c>
      <c r="F44" s="15" t="s">
        <v>29</v>
      </c>
      <c r="G44" s="17" t="s">
        <v>27</v>
      </c>
      <c r="H44" s="17" t="s">
        <v>5</v>
      </c>
      <c r="I44" s="18"/>
      <c r="J44" s="18"/>
      <c r="K44" s="19" t="n">
        <f aca="false">IF(E44="High",3,IF(E44="Med",2,1))/IF(F44="S",1,IF(F44="M",2,3))</f>
        <v>1</v>
      </c>
    </row>
    <row r="45" customFormat="false" ht="15" hidden="false" customHeight="false" outlineLevel="0" collapsed="false">
      <c r="A45" s="15" t="n">
        <v>44</v>
      </c>
      <c r="B45" s="16" t="s">
        <v>17</v>
      </c>
      <c r="C45" s="16" t="s">
        <v>138</v>
      </c>
      <c r="D45" s="16" t="s">
        <v>139</v>
      </c>
      <c r="E45" s="15" t="s">
        <v>34</v>
      </c>
      <c r="F45" s="15" t="s">
        <v>29</v>
      </c>
      <c r="G45" s="17" t="s">
        <v>27</v>
      </c>
      <c r="H45" s="17" t="s">
        <v>5</v>
      </c>
      <c r="I45" s="18"/>
      <c r="J45" s="18"/>
      <c r="K45" s="19" t="n">
        <f aca="false">IF(E45="High",3,IF(E45="Med",2,1))/IF(F45="S",1,IF(F45="M",2,3))</f>
        <v>1</v>
      </c>
    </row>
    <row r="46" customFormat="false" ht="15" hidden="false" customHeight="false" outlineLevel="0" collapsed="false">
      <c r="A46" s="15" t="n">
        <v>45</v>
      </c>
      <c r="B46" s="16" t="s">
        <v>17</v>
      </c>
      <c r="C46" s="16" t="s">
        <v>140</v>
      </c>
      <c r="D46" s="16" t="s">
        <v>141</v>
      </c>
      <c r="E46" s="15" t="s">
        <v>34</v>
      </c>
      <c r="F46" s="15" t="s">
        <v>29</v>
      </c>
      <c r="G46" s="17" t="s">
        <v>27</v>
      </c>
      <c r="H46" s="17" t="s">
        <v>5</v>
      </c>
      <c r="I46" s="18"/>
      <c r="J46" s="18"/>
      <c r="K46" s="19" t="n">
        <f aca="false">IF(E46="High",3,IF(E46="Med",2,1))/IF(F46="S",1,IF(F46="M",2,3))</f>
        <v>1</v>
      </c>
    </row>
    <row r="47" customFormat="false" ht="15" hidden="false" customHeight="false" outlineLevel="0" collapsed="false">
      <c r="A47" s="15" t="n">
        <v>46</v>
      </c>
      <c r="B47" s="16" t="s">
        <v>17</v>
      </c>
      <c r="C47" s="16" t="s">
        <v>142</v>
      </c>
      <c r="D47" s="16" t="s">
        <v>143</v>
      </c>
      <c r="E47" s="15" t="s">
        <v>34</v>
      </c>
      <c r="F47" s="15" t="s">
        <v>30</v>
      </c>
      <c r="G47" s="17" t="s">
        <v>27</v>
      </c>
      <c r="H47" s="17" t="s">
        <v>5</v>
      </c>
      <c r="I47" s="18"/>
      <c r="J47" s="18"/>
      <c r="K47" s="19" t="n">
        <f aca="false">IF(E47="High",3,IF(E47="Med",2,1))/IF(F47="S",1,IF(F47="M",2,3))</f>
        <v>0.5</v>
      </c>
    </row>
    <row r="48" customFormat="false" ht="15" hidden="false" customHeight="false" outlineLevel="0" collapsed="false">
      <c r="A48" s="15" t="n">
        <v>47</v>
      </c>
      <c r="B48" s="16" t="s">
        <v>18</v>
      </c>
      <c r="C48" s="16" t="s">
        <v>144</v>
      </c>
      <c r="D48" s="16" t="s">
        <v>145</v>
      </c>
      <c r="E48" s="15" t="s">
        <v>33</v>
      </c>
      <c r="F48" s="15" t="s">
        <v>30</v>
      </c>
      <c r="G48" s="17" t="s">
        <v>26</v>
      </c>
      <c r="H48" s="17" t="s">
        <v>5</v>
      </c>
      <c r="I48" s="18"/>
      <c r="J48" s="18"/>
      <c r="K48" s="19" t="n">
        <f aca="false">IF(E48="High",3,IF(E48="Med",2,1))/IF(F48="S",1,IF(F48="M",2,3))</f>
        <v>1</v>
      </c>
    </row>
    <row r="49" customFormat="false" ht="23.85" hidden="false" customHeight="false" outlineLevel="0" collapsed="false">
      <c r="A49" s="15" t="n">
        <v>48</v>
      </c>
      <c r="B49" s="16" t="s">
        <v>18</v>
      </c>
      <c r="C49" s="16" t="s">
        <v>146</v>
      </c>
      <c r="D49" s="16" t="s">
        <v>147</v>
      </c>
      <c r="E49" s="15" t="s">
        <v>33</v>
      </c>
      <c r="F49" s="15" t="s">
        <v>30</v>
      </c>
      <c r="G49" s="17" t="s">
        <v>26</v>
      </c>
      <c r="H49" s="17" t="s">
        <v>5</v>
      </c>
      <c r="I49" s="18"/>
      <c r="J49" s="18"/>
      <c r="K49" s="19" t="n">
        <f aca="false">IF(E49="High",3,IF(E49="Med",2,1))/IF(F49="S",1,IF(F49="M",2,3))</f>
        <v>1</v>
      </c>
    </row>
    <row r="50" customFormat="false" ht="15" hidden="false" customHeight="false" outlineLevel="0" collapsed="false">
      <c r="A50" s="15" t="n">
        <v>49</v>
      </c>
      <c r="B50" s="16" t="s">
        <v>18</v>
      </c>
      <c r="C50" s="16" t="s">
        <v>148</v>
      </c>
      <c r="D50" s="16" t="s">
        <v>149</v>
      </c>
      <c r="E50" s="15" t="s">
        <v>34</v>
      </c>
      <c r="F50" s="15" t="s">
        <v>29</v>
      </c>
      <c r="G50" s="17" t="s">
        <v>26</v>
      </c>
      <c r="H50" s="17" t="s">
        <v>5</v>
      </c>
      <c r="I50" s="18"/>
      <c r="J50" s="18"/>
      <c r="K50" s="19" t="n">
        <f aca="false">IF(E50="High",3,IF(E50="Med",2,1))/IF(F50="S",1,IF(F50="M",2,3))</f>
        <v>1</v>
      </c>
    </row>
    <row r="51" customFormat="false" ht="15" hidden="false" customHeight="false" outlineLevel="0" collapsed="false">
      <c r="A51" s="15" t="n">
        <v>50</v>
      </c>
      <c r="B51" s="16" t="s">
        <v>18</v>
      </c>
      <c r="C51" s="16" t="s">
        <v>150</v>
      </c>
      <c r="D51" s="16" t="s">
        <v>151</v>
      </c>
      <c r="E51" s="15" t="s">
        <v>34</v>
      </c>
      <c r="F51" s="15" t="s">
        <v>29</v>
      </c>
      <c r="G51" s="17" t="s">
        <v>26</v>
      </c>
      <c r="H51" s="17" t="s">
        <v>5</v>
      </c>
      <c r="I51" s="18"/>
      <c r="J51" s="18"/>
      <c r="K51" s="19" t="n">
        <f aca="false">IF(E51="High",3,IF(E51="Med",2,1))/IF(F51="S",1,IF(F51="M",2,3))</f>
        <v>1</v>
      </c>
    </row>
    <row r="52" customFormat="false" ht="15" hidden="false" customHeight="false" outlineLevel="0" collapsed="false">
      <c r="A52" s="15" t="n">
        <v>51</v>
      </c>
      <c r="B52" s="16" t="s">
        <v>18</v>
      </c>
      <c r="C52" s="16" t="s">
        <v>152</v>
      </c>
      <c r="D52" s="16" t="s">
        <v>153</v>
      </c>
      <c r="E52" s="15" t="s">
        <v>34</v>
      </c>
      <c r="F52" s="15" t="s">
        <v>29</v>
      </c>
      <c r="G52" s="17" t="s">
        <v>26</v>
      </c>
      <c r="H52" s="17" t="s">
        <v>5</v>
      </c>
      <c r="I52" s="18"/>
      <c r="J52" s="18"/>
      <c r="K52" s="19" t="n">
        <f aca="false">IF(E52="High",3,IF(E52="Med",2,1))/IF(F52="S",1,IF(F52="M",2,3))</f>
        <v>1</v>
      </c>
    </row>
    <row r="53" customFormat="false" ht="15" hidden="false" customHeight="false" outlineLevel="0" collapsed="false">
      <c r="A53" s="15" t="n">
        <v>52</v>
      </c>
      <c r="B53" s="16" t="s">
        <v>18</v>
      </c>
      <c r="C53" s="16" t="s">
        <v>154</v>
      </c>
      <c r="D53" s="16" t="s">
        <v>155</v>
      </c>
      <c r="E53" s="15" t="s">
        <v>34</v>
      </c>
      <c r="F53" s="15" t="s">
        <v>30</v>
      </c>
      <c r="G53" s="17" t="s">
        <v>26</v>
      </c>
      <c r="H53" s="17" t="s">
        <v>5</v>
      </c>
      <c r="I53" s="18"/>
      <c r="J53" s="18"/>
      <c r="K53" s="19" t="n">
        <f aca="false">IF(E53="High",3,IF(E53="Med",2,1))/IF(F53="S",1,IF(F53="M",2,3))</f>
        <v>0.5</v>
      </c>
    </row>
    <row r="54" customFormat="false" ht="23.85" hidden="false" customHeight="false" outlineLevel="0" collapsed="false">
      <c r="A54" s="15" t="n">
        <v>53</v>
      </c>
      <c r="B54" s="16" t="s">
        <v>18</v>
      </c>
      <c r="C54" s="16" t="s">
        <v>156</v>
      </c>
      <c r="D54" s="16" t="s">
        <v>157</v>
      </c>
      <c r="E54" s="15" t="s">
        <v>32</v>
      </c>
      <c r="F54" s="15" t="s">
        <v>30</v>
      </c>
      <c r="G54" s="17" t="s">
        <v>26</v>
      </c>
      <c r="H54" s="17" t="s">
        <v>5</v>
      </c>
      <c r="I54" s="18"/>
      <c r="J54" s="18"/>
      <c r="K54" s="19" t="n">
        <f aca="false">IF(E54="High",3,IF(E54="Med",2,1))/IF(F54="S",1,IF(F54="M",2,3))</f>
        <v>1.5</v>
      </c>
    </row>
    <row r="55" customFormat="false" ht="23.85" hidden="false" customHeight="false" outlineLevel="0" collapsed="false">
      <c r="A55" s="15" t="n">
        <v>54</v>
      </c>
      <c r="B55" s="16" t="s">
        <v>19</v>
      </c>
      <c r="C55" s="16" t="s">
        <v>158</v>
      </c>
      <c r="D55" s="16" t="s">
        <v>159</v>
      </c>
      <c r="E55" s="15" t="s">
        <v>34</v>
      </c>
      <c r="F55" s="15" t="s">
        <v>29</v>
      </c>
      <c r="G55" s="17" t="s">
        <v>27</v>
      </c>
      <c r="H55" s="17" t="s">
        <v>5</v>
      </c>
      <c r="I55" s="18"/>
      <c r="J55" s="18"/>
      <c r="K55" s="19" t="n">
        <f aca="false">IF(E55="High",3,IF(E55="Med",2,1))/IF(F55="S",1,IF(F55="M",2,3))</f>
        <v>1</v>
      </c>
    </row>
    <row r="56" customFormat="false" ht="23.85" hidden="false" customHeight="false" outlineLevel="0" collapsed="false">
      <c r="A56" s="15" t="n">
        <v>55</v>
      </c>
      <c r="B56" s="16" t="s">
        <v>19</v>
      </c>
      <c r="C56" s="16" t="s">
        <v>160</v>
      </c>
      <c r="D56" s="16" t="s">
        <v>161</v>
      </c>
      <c r="E56" s="15" t="s">
        <v>34</v>
      </c>
      <c r="F56" s="15" t="s">
        <v>29</v>
      </c>
      <c r="G56" s="17" t="s">
        <v>27</v>
      </c>
      <c r="H56" s="17" t="s">
        <v>5</v>
      </c>
      <c r="I56" s="18"/>
      <c r="J56" s="18"/>
      <c r="K56" s="19" t="n">
        <f aca="false">IF(E56="High",3,IF(E56="Med",2,1))/IF(F56="S",1,IF(F56="M",2,3))</f>
        <v>1</v>
      </c>
    </row>
    <row r="57" customFormat="false" ht="15" hidden="false" customHeight="false" outlineLevel="0" collapsed="false">
      <c r="A57" s="15" t="n">
        <v>56</v>
      </c>
      <c r="B57" s="16" t="s">
        <v>19</v>
      </c>
      <c r="C57" s="16" t="s">
        <v>162</v>
      </c>
      <c r="D57" s="16" t="s">
        <v>163</v>
      </c>
      <c r="E57" s="15" t="s">
        <v>34</v>
      </c>
      <c r="F57" s="15" t="s">
        <v>29</v>
      </c>
      <c r="G57" s="17" t="s">
        <v>27</v>
      </c>
      <c r="H57" s="17" t="s">
        <v>5</v>
      </c>
      <c r="I57" s="18"/>
      <c r="J57" s="18"/>
      <c r="K57" s="19" t="n">
        <f aca="false">IF(E57="High",3,IF(E57="Med",2,1))/IF(F57="S",1,IF(F57="M",2,3))</f>
        <v>1</v>
      </c>
    </row>
    <row r="58" customFormat="false" ht="15" hidden="false" customHeight="false" outlineLevel="0" collapsed="false">
      <c r="A58" s="15" t="n">
        <v>57</v>
      </c>
      <c r="B58" s="16" t="s">
        <v>19</v>
      </c>
      <c r="C58" s="16" t="s">
        <v>164</v>
      </c>
      <c r="D58" s="16" t="s">
        <v>165</v>
      </c>
      <c r="E58" s="15" t="s">
        <v>34</v>
      </c>
      <c r="F58" s="15" t="s">
        <v>29</v>
      </c>
      <c r="G58" s="17" t="s">
        <v>27</v>
      </c>
      <c r="H58" s="17" t="s">
        <v>5</v>
      </c>
      <c r="I58" s="18"/>
      <c r="J58" s="18"/>
      <c r="K58" s="19" t="n">
        <f aca="false">IF(E58="High",3,IF(E58="Med",2,1))/IF(F58="S",1,IF(F58="M",2,3))</f>
        <v>1</v>
      </c>
    </row>
    <row r="59" customFormat="false" ht="15" hidden="false" customHeight="false" outlineLevel="0" collapsed="false">
      <c r="A59" s="15" t="n">
        <v>58</v>
      </c>
      <c r="B59" s="16" t="s">
        <v>20</v>
      </c>
      <c r="C59" s="16" t="s">
        <v>166</v>
      </c>
      <c r="D59" s="16" t="s">
        <v>167</v>
      </c>
      <c r="E59" s="15" t="s">
        <v>33</v>
      </c>
      <c r="F59" s="15" t="s">
        <v>29</v>
      </c>
      <c r="G59" s="17" t="s">
        <v>26</v>
      </c>
      <c r="H59" s="17" t="s">
        <v>5</v>
      </c>
      <c r="I59" s="18"/>
      <c r="J59" s="18"/>
      <c r="K59" s="19" t="n">
        <f aca="false">IF(E59="High",3,IF(E59="Med",2,1))/IF(F59="S",1,IF(F59="M",2,3))</f>
        <v>2</v>
      </c>
    </row>
    <row r="60" customFormat="false" ht="23.85" hidden="false" customHeight="false" outlineLevel="0" collapsed="false">
      <c r="A60" s="15" t="n">
        <v>59</v>
      </c>
      <c r="B60" s="16" t="s">
        <v>20</v>
      </c>
      <c r="C60" s="16" t="s">
        <v>168</v>
      </c>
      <c r="D60" s="16" t="s">
        <v>169</v>
      </c>
      <c r="E60" s="15" t="s">
        <v>33</v>
      </c>
      <c r="F60" s="15" t="s">
        <v>30</v>
      </c>
      <c r="G60" s="17" t="s">
        <v>26</v>
      </c>
      <c r="H60" s="17" t="s">
        <v>5</v>
      </c>
      <c r="I60" s="18"/>
      <c r="J60" s="18"/>
      <c r="K60" s="19" t="n">
        <f aca="false">IF(E60="High",3,IF(E60="Med",2,1))/IF(F60="S",1,IF(F60="M",2,3))</f>
        <v>1</v>
      </c>
    </row>
    <row r="61" customFormat="false" ht="15" hidden="false" customHeight="false" outlineLevel="0" collapsed="false">
      <c r="A61" s="15" t="n">
        <v>60</v>
      </c>
      <c r="B61" s="16" t="s">
        <v>20</v>
      </c>
      <c r="C61" s="16" t="s">
        <v>170</v>
      </c>
      <c r="D61" s="16" t="s">
        <v>171</v>
      </c>
      <c r="E61" s="15" t="s">
        <v>33</v>
      </c>
      <c r="F61" s="15" t="s">
        <v>29</v>
      </c>
      <c r="G61" s="17" t="s">
        <v>26</v>
      </c>
      <c r="H61" s="17" t="s">
        <v>5</v>
      </c>
      <c r="I61" s="18"/>
      <c r="J61" s="18"/>
      <c r="K61" s="19" t="n">
        <f aca="false">IF(E61="High",3,IF(E61="Med",2,1))/IF(F61="S",1,IF(F61="M",2,3))</f>
        <v>2</v>
      </c>
    </row>
    <row r="62" customFormat="false" ht="15" hidden="false" customHeight="false" outlineLevel="0" collapsed="false">
      <c r="A62" s="15" t="n">
        <v>61</v>
      </c>
      <c r="B62" s="16" t="s">
        <v>20</v>
      </c>
      <c r="C62" s="16" t="s">
        <v>172</v>
      </c>
      <c r="D62" s="16" t="s">
        <v>173</v>
      </c>
      <c r="E62" s="15" t="s">
        <v>34</v>
      </c>
      <c r="F62" s="15" t="s">
        <v>29</v>
      </c>
      <c r="G62" s="17" t="s">
        <v>27</v>
      </c>
      <c r="H62" s="17" t="s">
        <v>5</v>
      </c>
      <c r="I62" s="18"/>
      <c r="J62" s="18"/>
      <c r="K62" s="19" t="n">
        <f aca="false">IF(E62="High",3,IF(E62="Med",2,1))/IF(F62="S",1,IF(F62="M",2,3))</f>
        <v>1</v>
      </c>
    </row>
  </sheetData>
  <autoFilter ref="A1:K62"/>
  <conditionalFormatting sqref="H2:H62">
    <cfRule type="cellIs" priority="2" operator="equal" aboveAverage="0" equalAverage="0" bottom="0" percent="0" rank="0" text="" dxfId="8">
      <formula>"Done"</formula>
    </cfRule>
    <cfRule type="cellIs" priority="3" operator="equal" aboveAverage="0" equalAverage="0" bottom="0" percent="0" rank="0" text="" dxfId="9">
      <formula>"In progress"</formula>
    </cfRule>
    <cfRule type="cellIs" priority="4" operator="equal" aboveAverage="0" equalAverage="0" bottom="0" percent="0" rank="0" text="" dxfId="10">
      <formula>"Skipped"</formula>
    </cfRule>
  </conditionalFormatting>
  <conditionalFormatting sqref="E2:E62">
    <cfRule type="cellIs" priority="5" operator="equal" aboveAverage="0" equalAverage="0" bottom="0" percent="0" rank="0" text="" dxfId="11">
      <formula>"High"</formula>
    </cfRule>
    <cfRule type="cellIs" priority="6" operator="equal" aboveAverage="0" equalAverage="0" bottom="0" percent="0" rank="0" text="" dxfId="12">
      <formula>"Med"</formula>
    </cfRule>
    <cfRule type="cellIs" priority="7" operator="equal" aboveAverage="0" equalAverage="0" bottom="0" percent="0" rank="0" text="" dxfId="13">
      <formula>"Low"</formula>
    </cfRule>
  </conditionalFormatting>
  <dataValidations count="4">
    <dataValidation allowBlank="false" errorStyle="stop" operator="between" showDropDown="false" showErrorMessage="false" showInputMessage="false" sqref="E2:E62" type="list">
      <formula1>"High,Med,Low"</formula1>
      <formula2>0</formula2>
    </dataValidation>
    <dataValidation allowBlank="false" errorStyle="stop" operator="between" showDropDown="false" showErrorMessage="false" showInputMessage="false" sqref="F2:F62" type="list">
      <formula1>"S,M,L"</formula1>
      <formula2>0</formula2>
    </dataValidation>
    <dataValidation allowBlank="false" errorStyle="stop" operator="between" showDropDown="false" showErrorMessage="false" showInputMessage="false" sqref="G2:G62" type="list">
      <formula1>"Phase 1,Phase 2,Phase 3,Phase 4,Backlog"</formula1>
      <formula2>0</formula2>
    </dataValidation>
    <dataValidation allowBlank="false" errorStyle="stop" operator="between" showDropDown="false" showErrorMessage="false" showInputMessage="false" sqref="H2:H62" type="list">
      <formula1>"To do,In progress,Done,Skipped"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2026-10-30T06:53:09Z</dcterms:created>
  <dc:creator>openpyxl</dc:creator>
  <dc:description/>
  <dc:language>en-US</dc:language>
  <cp:lastModifiedBy/>
  <dcterms:modified xsi:type="dcterms:W3CDTF">2026-10-30T06:53:09Z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